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Leandro Oviedo\Documents\Lourdes\Eventos 2026\Workshop em Nanociências 2026\"/>
    </mc:Choice>
  </mc:AlternateContent>
  <xr:revisionPtr revIDLastSave="0" documentId="13_ncr:1_{27494BFA-EA2F-402A-874A-B8113BEA3668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Data" sheetId="3" r:id="rId1"/>
    <sheet name="Planilha1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4" l="1"/>
  <c r="E2" i="4"/>
  <c r="D11" i="4"/>
  <c r="D9" i="4"/>
  <c r="D6" i="4"/>
  <c r="D7" i="4"/>
  <c r="D8" i="4"/>
  <c r="D10" i="4"/>
  <c r="D3" i="4"/>
  <c r="D4" i="4" l="1"/>
  <c r="D5" i="4"/>
  <c r="D2" i="4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2" i="3"/>
  <c r="T41" i="3"/>
  <c r="T40" i="3"/>
  <c r="T39" i="3"/>
  <c r="T38" i="3"/>
  <c r="T37" i="3"/>
  <c r="T36" i="3"/>
  <c r="T35" i="3"/>
  <c r="T34" i="3"/>
  <c r="T33" i="3"/>
  <c r="T32" i="3"/>
  <c r="T31" i="3"/>
  <c r="T30" i="3"/>
  <c r="T29" i="3"/>
  <c r="T28" i="3"/>
  <c r="T27" i="3"/>
  <c r="T26" i="3"/>
  <c r="T25" i="3"/>
  <c r="T24" i="3"/>
  <c r="T23" i="3"/>
  <c r="T21" i="3"/>
  <c r="T20" i="3"/>
  <c r="T19" i="3"/>
  <c r="T18" i="3"/>
  <c r="T17" i="3"/>
  <c r="T16" i="3"/>
  <c r="T15" i="3"/>
  <c r="T14" i="3"/>
  <c r="T13" i="3"/>
  <c r="T11" i="3"/>
  <c r="T10" i="3"/>
  <c r="T9" i="3"/>
  <c r="T8" i="3"/>
  <c r="T7" i="3"/>
  <c r="T6" i="3"/>
  <c r="T5" i="3"/>
  <c r="T4" i="3"/>
  <c r="T3" i="3"/>
  <c r="T22" i="3"/>
  <c r="T12" i="3"/>
  <c r="T2" i="3"/>
  <c r="H53" i="3"/>
  <c r="H54" i="3"/>
  <c r="H55" i="3"/>
  <c r="H56" i="3"/>
  <c r="H57" i="3"/>
  <c r="H58" i="3"/>
  <c r="H59" i="3"/>
  <c r="H60" i="3"/>
  <c r="H61" i="3"/>
  <c r="H52" i="3"/>
  <c r="H43" i="3"/>
  <c r="H44" i="3"/>
  <c r="H45" i="3"/>
  <c r="H46" i="3"/>
  <c r="H47" i="3"/>
  <c r="H48" i="3"/>
  <c r="H49" i="3"/>
  <c r="H50" i="3"/>
  <c r="H51" i="3"/>
  <c r="H42" i="3"/>
</calcChain>
</file>

<file path=xl/sharedStrings.xml><?xml version="1.0" encoding="utf-8"?>
<sst xmlns="http://schemas.openxmlformats.org/spreadsheetml/2006/main" count="207" uniqueCount="44">
  <si>
    <t>time</t>
  </si>
  <si>
    <t>[Dye]</t>
  </si>
  <si>
    <t>[Cat]</t>
  </si>
  <si>
    <t>Catalyst</t>
  </si>
  <si>
    <t>pH</t>
  </si>
  <si>
    <t>Abs</t>
  </si>
  <si>
    <t>%R</t>
  </si>
  <si>
    <t>C (%)</t>
  </si>
  <si>
    <t>Fe (%)</t>
  </si>
  <si>
    <t>Na (%)</t>
  </si>
  <si>
    <t>Al (%)</t>
  </si>
  <si>
    <t>Si (%)</t>
  </si>
  <si>
    <t>O (%)</t>
  </si>
  <si>
    <t>Si/Al</t>
  </si>
  <si>
    <t>Sample ID</t>
  </si>
  <si>
    <t>K (%)</t>
  </si>
  <si>
    <t>Mg (%)</t>
  </si>
  <si>
    <t>Ca (%)</t>
  </si>
  <si>
    <t>AI</t>
  </si>
  <si>
    <t>SS@CeO2-NPs 4 wt.%</t>
  </si>
  <si>
    <t>Stage</t>
  </si>
  <si>
    <t>Adsorption</t>
  </si>
  <si>
    <t>Photocatalysis</t>
  </si>
  <si>
    <t>CeO2-NPs</t>
  </si>
  <si>
    <t>Ce (%)</t>
  </si>
  <si>
    <t>Am04_CeO2-NPs_3</t>
  </si>
  <si>
    <t>Am04_CeO2-NPs_4</t>
  </si>
  <si>
    <t>Am04_CeO2-NPs_5</t>
  </si>
  <si>
    <t>Am04_CeO2-NPs_6</t>
  </si>
  <si>
    <t>Am04_CeO2-NPs_7</t>
  </si>
  <si>
    <t>Am04_CeO2-NPs_8</t>
  </si>
  <si>
    <t>Am06_Lodo-CeO2-NPs-4%_4</t>
  </si>
  <si>
    <t>Am06_Lodo-CeO2-NPs-4%_2</t>
  </si>
  <si>
    <t>Am06_Lodo-CeO2-NPs-4%_3</t>
  </si>
  <si>
    <t>Am06_Lodo-CeO2-NPs-4%_1</t>
  </si>
  <si>
    <t>Am06_Lodo-CeO2-NPs-4%_5</t>
  </si>
  <si>
    <t>Am06_Lodo-CeO2-NPs-4%_7</t>
  </si>
  <si>
    <t>Am06_Lodo-CeO2-NPs-4%_6</t>
  </si>
  <si>
    <t>Observed</t>
  </si>
  <si>
    <t>Predicted</t>
  </si>
  <si>
    <t>Run</t>
  </si>
  <si>
    <t>Error (%)</t>
  </si>
  <si>
    <t>Acertos (%)</t>
  </si>
  <si>
    <t>Erros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</si>
</sst>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"/>
    <numFmt numFmtId="166" formatCode="0.0000"/>
    <numFmt numFmtId="168" formatCode="0.0%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Yu Gothic"/>
      <family val="2"/>
    </font>
    <font>
      <sz val="11"/>
      <name val="Yu Gothic"/>
      <family val="2"/>
    </font>
    <font>
      <sz val="11"/>
      <color rgb="FFFF0000"/>
      <name val="Yu Gothic"/>
      <family val="2"/>
    </font>
    <font>
      <sz val="11"/>
      <color rgb="FF660066"/>
      <name val="Yu Gothic"/>
      <family val="2"/>
    </font>
    <font>
      <b/>
      <sz val="11"/>
      <color theme="1"/>
      <name val="Yu Gothic"/>
      <family val="2"/>
    </font>
    <font>
      <b/>
      <sz val="11"/>
      <name val="Yu Gothic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5" fillId="0" borderId="0" xfId="0" applyFont="1"/>
    <xf numFmtId="0" fontId="6" fillId="0" borderId="0" xfId="0" applyFont="1"/>
    <xf numFmtId="0" fontId="4" fillId="0" borderId="1" xfId="0" applyFont="1" applyBorder="1" applyAlignment="1">
      <alignment horizontal="center"/>
    </xf>
    <xf numFmtId="2" fontId="4" fillId="0" borderId="0" xfId="0" applyNumberFormat="1" applyFont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4" fillId="0" borderId="0" xfId="0" applyFont="1"/>
    <xf numFmtId="0" fontId="3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65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2" fontId="6" fillId="0" borderId="1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165" fontId="5" fillId="0" borderId="2" xfId="0" applyNumberFormat="1" applyFont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65" fontId="4" fillId="0" borderId="2" xfId="0" applyNumberFormat="1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/>
    </xf>
    <xf numFmtId="0" fontId="0" fillId="0" borderId="0" xfId="0" applyBorder="1"/>
    <xf numFmtId="0" fontId="6" fillId="0" borderId="0" xfId="0" applyFont="1" applyBorder="1" applyAlignment="1">
      <alignment horizontal="center"/>
    </xf>
    <xf numFmtId="166" fontId="3" fillId="0" borderId="0" xfId="0" applyNumberFormat="1" applyFont="1" applyBorder="1"/>
    <xf numFmtId="0" fontId="9" fillId="0" borderId="0" xfId="0" applyFont="1" applyAlignment="1">
      <alignment horizontal="center"/>
    </xf>
    <xf numFmtId="9" fontId="0" fillId="0" borderId="0" xfId="1" applyFont="1" applyAlignment="1">
      <alignment horizontal="center"/>
    </xf>
    <xf numFmtId="168" fontId="0" fillId="0" borderId="0" xfId="1" applyNumberFormat="1" applyFont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mruColors>
      <color rgb="FF66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65272-6F7B-4B03-8458-95BA41929BE4}">
  <dimension ref="A1:V63"/>
  <sheetViews>
    <sheetView topLeftCell="A28" zoomScale="70" zoomScaleNormal="70" workbookViewId="0">
      <selection activeCell="V35" sqref="V35"/>
    </sheetView>
  </sheetViews>
  <sheetFormatPr defaultRowHeight="18.75" x14ac:dyDescent="0.4"/>
  <cols>
    <col min="1" max="3" width="9.140625" style="2"/>
    <col min="4" max="4" width="22" style="2" bestFit="1" customWidth="1"/>
    <col min="5" max="5" width="10.140625" style="2" customWidth="1"/>
    <col min="6" max="6" width="16.140625" style="2" bestFit="1" customWidth="1"/>
    <col min="7" max="7" width="6.5703125" style="2" customWidth="1"/>
    <col min="8" max="8" width="8.140625" style="10" customWidth="1"/>
    <col min="9" max="9" width="31.7109375" style="3" bestFit="1" customWidth="1"/>
    <col min="10" max="20" width="9.140625" style="3"/>
    <col min="21" max="21" width="9.140625" style="9"/>
    <col min="22" max="16384" width="9.140625" style="2"/>
  </cols>
  <sheetData>
    <row r="1" spans="1:22" x14ac:dyDescent="0.4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20</v>
      </c>
      <c r="G1" s="11" t="s">
        <v>5</v>
      </c>
      <c r="H1" s="11" t="s">
        <v>6</v>
      </c>
      <c r="I1" s="12" t="s">
        <v>14</v>
      </c>
      <c r="J1" s="12" t="s">
        <v>7</v>
      </c>
      <c r="K1" s="12" t="s">
        <v>8</v>
      </c>
      <c r="L1" s="12" t="s">
        <v>24</v>
      </c>
      <c r="M1" s="12" t="s">
        <v>9</v>
      </c>
      <c r="N1" s="12" t="s">
        <v>10</v>
      </c>
      <c r="O1" s="12" t="s">
        <v>11</v>
      </c>
      <c r="P1" s="12" t="s">
        <v>12</v>
      </c>
      <c r="Q1" s="12" t="s">
        <v>15</v>
      </c>
      <c r="R1" s="12" t="s">
        <v>16</v>
      </c>
      <c r="S1" s="12" t="s">
        <v>17</v>
      </c>
      <c r="T1" s="13" t="s">
        <v>13</v>
      </c>
      <c r="U1" s="12" t="s">
        <v>18</v>
      </c>
    </row>
    <row r="2" spans="1:22" s="4" customFormat="1" x14ac:dyDescent="0.4">
      <c r="A2" s="14">
        <v>-45</v>
      </c>
      <c r="B2" s="15">
        <v>10</v>
      </c>
      <c r="C2" s="16">
        <v>0.5</v>
      </c>
      <c r="D2" s="16" t="s">
        <v>19</v>
      </c>
      <c r="E2" s="14">
        <v>9.08</v>
      </c>
      <c r="F2" s="14" t="s">
        <v>21</v>
      </c>
      <c r="G2" s="14">
        <v>0.38888888888888884</v>
      </c>
      <c r="H2" s="15">
        <v>59.731543624161077</v>
      </c>
      <c r="I2" s="29" t="s">
        <v>32</v>
      </c>
      <c r="J2" s="7">
        <v>34.840000000000003</v>
      </c>
      <c r="K2" s="7">
        <v>3.73</v>
      </c>
      <c r="L2" s="7">
        <v>5.26</v>
      </c>
      <c r="M2" s="7">
        <v>0.56000000000000005</v>
      </c>
      <c r="N2" s="7">
        <v>2.0699999999999998</v>
      </c>
      <c r="O2" s="7">
        <v>12.04</v>
      </c>
      <c r="P2" s="7">
        <v>38.51</v>
      </c>
      <c r="Q2" s="7">
        <v>1.1499999999999999</v>
      </c>
      <c r="R2" s="7">
        <v>0.15</v>
      </c>
      <c r="S2" s="7">
        <v>0.57999999999999996</v>
      </c>
      <c r="T2" s="7">
        <f>O2/N2</f>
        <v>5.8164251207729469</v>
      </c>
      <c r="U2" s="3">
        <f>(1.5*K2+1.5*L2+1.2*N2+0.8*P2+0.8*O2-0.5*(M2+Q2+R2+S2))+1/T2</f>
        <v>55.360926910299</v>
      </c>
    </row>
    <row r="3" spans="1:22" s="4" customFormat="1" x14ac:dyDescent="0.4">
      <c r="A3" s="14">
        <v>-30</v>
      </c>
      <c r="B3" s="15">
        <v>10</v>
      </c>
      <c r="C3" s="16">
        <v>0.5</v>
      </c>
      <c r="D3" s="16" t="s">
        <v>19</v>
      </c>
      <c r="E3" s="14">
        <v>9.08</v>
      </c>
      <c r="F3" s="14" t="s">
        <v>21</v>
      </c>
      <c r="G3" s="14">
        <v>0.61666666666666659</v>
      </c>
      <c r="H3" s="15">
        <v>70.805369127516784</v>
      </c>
      <c r="I3" s="29" t="s">
        <v>33</v>
      </c>
      <c r="J3" s="7">
        <v>34.840000000000003</v>
      </c>
      <c r="K3" s="7">
        <v>3.73</v>
      </c>
      <c r="L3" s="7">
        <v>5.26</v>
      </c>
      <c r="M3" s="7">
        <v>0.56000000000000005</v>
      </c>
      <c r="N3" s="7">
        <v>2.0699999999999998</v>
      </c>
      <c r="O3" s="7">
        <v>12.04</v>
      </c>
      <c r="P3" s="7">
        <v>38.51</v>
      </c>
      <c r="Q3" s="7">
        <v>1.1499999999999999</v>
      </c>
      <c r="R3" s="7">
        <v>0.15</v>
      </c>
      <c r="S3" s="7">
        <v>0.57999999999999996</v>
      </c>
      <c r="T3" s="7">
        <f t="shared" ref="T3:T11" si="0">O3/N3</f>
        <v>5.8164251207729469</v>
      </c>
      <c r="U3" s="3">
        <f t="shared" ref="U3:U61" si="1">(1.5*K3+1.5*L3+1.2*N3+0.8*P3+0.8*O3-0.5*(M3+Q3+R3+S3))</f>
        <v>55.189</v>
      </c>
    </row>
    <row r="4" spans="1:22" s="4" customFormat="1" x14ac:dyDescent="0.4">
      <c r="A4" s="14">
        <v>-15</v>
      </c>
      <c r="B4" s="15">
        <v>10</v>
      </c>
      <c r="C4" s="16">
        <v>0.5</v>
      </c>
      <c r="D4" s="16" t="s">
        <v>19</v>
      </c>
      <c r="E4" s="14">
        <v>9.08</v>
      </c>
      <c r="F4" s="14" t="s">
        <v>21</v>
      </c>
      <c r="G4" s="14">
        <v>0.56111111111111112</v>
      </c>
      <c r="H4" s="15">
        <v>74.832214765100673</v>
      </c>
      <c r="I4" s="29" t="s">
        <v>31</v>
      </c>
      <c r="J4" s="7">
        <v>34.840000000000003</v>
      </c>
      <c r="K4" s="7">
        <v>3.73</v>
      </c>
      <c r="L4" s="7">
        <v>5.26</v>
      </c>
      <c r="M4" s="7">
        <v>0.56000000000000005</v>
      </c>
      <c r="N4" s="7">
        <v>2.0699999999999998</v>
      </c>
      <c r="O4" s="7">
        <v>12.04</v>
      </c>
      <c r="P4" s="7">
        <v>38.51</v>
      </c>
      <c r="Q4" s="7">
        <v>1.1499999999999999</v>
      </c>
      <c r="R4" s="7">
        <v>0.15</v>
      </c>
      <c r="S4" s="7">
        <v>0.57999999999999996</v>
      </c>
      <c r="T4" s="7">
        <f t="shared" si="0"/>
        <v>5.8164251207729469</v>
      </c>
      <c r="U4" s="3">
        <f t="shared" si="1"/>
        <v>55.189</v>
      </c>
    </row>
    <row r="5" spans="1:22" s="5" customFormat="1" x14ac:dyDescent="0.4">
      <c r="A5" s="17">
        <v>0</v>
      </c>
      <c r="B5" s="18">
        <v>10</v>
      </c>
      <c r="C5" s="19">
        <v>0.5</v>
      </c>
      <c r="D5" s="19" t="s">
        <v>19</v>
      </c>
      <c r="E5" s="17">
        <v>9.08</v>
      </c>
      <c r="F5" s="17" t="s">
        <v>22</v>
      </c>
      <c r="G5" s="17">
        <v>0.58333333333333337</v>
      </c>
      <c r="H5" s="18">
        <v>76.845637583892611</v>
      </c>
      <c r="I5" s="29" t="s">
        <v>34</v>
      </c>
      <c r="J5" s="7">
        <v>34.840000000000003</v>
      </c>
      <c r="K5" s="7">
        <v>3.73</v>
      </c>
      <c r="L5" s="7">
        <v>5.26</v>
      </c>
      <c r="M5" s="7">
        <v>0.56000000000000005</v>
      </c>
      <c r="N5" s="7">
        <v>2.0699999999999998</v>
      </c>
      <c r="O5" s="7">
        <v>12.04</v>
      </c>
      <c r="P5" s="7">
        <v>38.51</v>
      </c>
      <c r="Q5" s="7">
        <v>1.1499999999999999</v>
      </c>
      <c r="R5" s="7">
        <v>0.15</v>
      </c>
      <c r="S5" s="7">
        <v>0.57999999999999996</v>
      </c>
      <c r="T5" s="7">
        <f t="shared" si="0"/>
        <v>5.8164251207729469</v>
      </c>
      <c r="U5" s="3">
        <f t="shared" si="1"/>
        <v>55.189</v>
      </c>
    </row>
    <row r="6" spans="1:22" s="5" customFormat="1" x14ac:dyDescent="0.4">
      <c r="A6" s="17">
        <v>15</v>
      </c>
      <c r="B6" s="18">
        <v>10</v>
      </c>
      <c r="C6" s="19">
        <v>0.5</v>
      </c>
      <c r="D6" s="19" t="s">
        <v>19</v>
      </c>
      <c r="E6" s="17">
        <v>9.08</v>
      </c>
      <c r="F6" s="17" t="s">
        <v>22</v>
      </c>
      <c r="G6" s="17">
        <v>0.68333333333333335</v>
      </c>
      <c r="H6" s="18">
        <v>81.208053691275168</v>
      </c>
      <c r="I6" s="29" t="s">
        <v>32</v>
      </c>
      <c r="J6" s="7">
        <v>34.840000000000003</v>
      </c>
      <c r="K6" s="7">
        <v>3.73</v>
      </c>
      <c r="L6" s="7">
        <v>5.26</v>
      </c>
      <c r="M6" s="7">
        <v>0.56000000000000005</v>
      </c>
      <c r="N6" s="7">
        <v>2.0699999999999998</v>
      </c>
      <c r="O6" s="7">
        <v>12.04</v>
      </c>
      <c r="P6" s="7">
        <v>38.51</v>
      </c>
      <c r="Q6" s="7">
        <v>1.1499999999999999</v>
      </c>
      <c r="R6" s="7">
        <v>0.15</v>
      </c>
      <c r="S6" s="7">
        <v>0.57999999999999996</v>
      </c>
      <c r="T6" s="7">
        <f t="shared" si="0"/>
        <v>5.8164251207729469</v>
      </c>
      <c r="U6" s="3">
        <f t="shared" si="1"/>
        <v>55.189</v>
      </c>
    </row>
    <row r="7" spans="1:22" s="5" customFormat="1" x14ac:dyDescent="0.4">
      <c r="A7" s="17">
        <v>30</v>
      </c>
      <c r="B7" s="18">
        <v>10</v>
      </c>
      <c r="C7" s="19">
        <v>0.5</v>
      </c>
      <c r="D7" s="19" t="s">
        <v>19</v>
      </c>
      <c r="E7" s="17">
        <v>9.08</v>
      </c>
      <c r="F7" s="17" t="s">
        <v>22</v>
      </c>
      <c r="G7" s="17">
        <v>0.76111111111111118</v>
      </c>
      <c r="H7" s="18">
        <v>82.214765100671144</v>
      </c>
      <c r="I7" s="29" t="s">
        <v>35</v>
      </c>
      <c r="J7" s="7">
        <v>34.840000000000003</v>
      </c>
      <c r="K7" s="7">
        <v>3.73</v>
      </c>
      <c r="L7" s="7">
        <v>5.26</v>
      </c>
      <c r="M7" s="7">
        <v>0.56000000000000005</v>
      </c>
      <c r="N7" s="7">
        <v>2.0699999999999998</v>
      </c>
      <c r="O7" s="7">
        <v>12.04</v>
      </c>
      <c r="P7" s="7">
        <v>38.51</v>
      </c>
      <c r="Q7" s="7">
        <v>1.1499999999999999</v>
      </c>
      <c r="R7" s="7">
        <v>0.15</v>
      </c>
      <c r="S7" s="7">
        <v>0.57999999999999996</v>
      </c>
      <c r="T7" s="7">
        <f t="shared" si="0"/>
        <v>5.8164251207729469</v>
      </c>
      <c r="U7" s="3">
        <f t="shared" si="1"/>
        <v>55.189</v>
      </c>
    </row>
    <row r="8" spans="1:22" s="5" customFormat="1" x14ac:dyDescent="0.4">
      <c r="A8" s="17">
        <v>45</v>
      </c>
      <c r="B8" s="18">
        <v>10</v>
      </c>
      <c r="C8" s="19">
        <v>0.5</v>
      </c>
      <c r="D8" s="19" t="s">
        <v>19</v>
      </c>
      <c r="E8" s="17">
        <v>9.08</v>
      </c>
      <c r="F8" s="17" t="s">
        <v>22</v>
      </c>
      <c r="G8" s="17">
        <v>0.75000000000000011</v>
      </c>
      <c r="H8" s="18">
        <v>85.570469798657726</v>
      </c>
      <c r="I8" s="29" t="s">
        <v>36</v>
      </c>
      <c r="J8" s="7">
        <v>34.840000000000003</v>
      </c>
      <c r="K8" s="7">
        <v>3.73</v>
      </c>
      <c r="L8" s="7">
        <v>5.26</v>
      </c>
      <c r="M8" s="7">
        <v>0.56000000000000005</v>
      </c>
      <c r="N8" s="7">
        <v>2.0699999999999998</v>
      </c>
      <c r="O8" s="7">
        <v>12.04</v>
      </c>
      <c r="P8" s="7">
        <v>38.51</v>
      </c>
      <c r="Q8" s="7">
        <v>1.1499999999999999</v>
      </c>
      <c r="R8" s="7">
        <v>0.15</v>
      </c>
      <c r="S8" s="7">
        <v>0.57999999999999996</v>
      </c>
      <c r="T8" s="7">
        <f t="shared" si="0"/>
        <v>5.8164251207729469</v>
      </c>
      <c r="U8" s="3">
        <f t="shared" si="1"/>
        <v>55.189</v>
      </c>
    </row>
    <row r="9" spans="1:22" s="5" customFormat="1" x14ac:dyDescent="0.4">
      <c r="A9" s="17">
        <v>60</v>
      </c>
      <c r="B9" s="18">
        <v>10</v>
      </c>
      <c r="C9" s="19">
        <v>0.5</v>
      </c>
      <c r="D9" s="19" t="s">
        <v>19</v>
      </c>
      <c r="E9" s="17">
        <v>9.08</v>
      </c>
      <c r="F9" s="17" t="s">
        <v>22</v>
      </c>
      <c r="G9" s="17">
        <v>0.78333333333333333</v>
      </c>
      <c r="H9" s="18">
        <v>85.570469798657726</v>
      </c>
      <c r="I9" s="29" t="s">
        <v>37</v>
      </c>
      <c r="J9" s="7">
        <v>34.840000000000003</v>
      </c>
      <c r="K9" s="7">
        <v>3.73</v>
      </c>
      <c r="L9" s="7">
        <v>5.26</v>
      </c>
      <c r="M9" s="7">
        <v>0.56000000000000005</v>
      </c>
      <c r="N9" s="7">
        <v>2.0699999999999998</v>
      </c>
      <c r="O9" s="7">
        <v>12.04</v>
      </c>
      <c r="P9" s="7">
        <v>38.51</v>
      </c>
      <c r="Q9" s="7">
        <v>1.1499999999999999</v>
      </c>
      <c r="R9" s="7">
        <v>0.15</v>
      </c>
      <c r="S9" s="7">
        <v>0.57999999999999996</v>
      </c>
      <c r="T9" s="7">
        <f t="shared" si="0"/>
        <v>5.8164251207729469</v>
      </c>
      <c r="U9" s="3">
        <f t="shared" si="1"/>
        <v>55.189</v>
      </c>
    </row>
    <row r="10" spans="1:22" s="5" customFormat="1" x14ac:dyDescent="0.4">
      <c r="A10" s="17">
        <v>90</v>
      </c>
      <c r="B10" s="18">
        <v>10</v>
      </c>
      <c r="C10" s="19">
        <v>0.5</v>
      </c>
      <c r="D10" s="19" t="s">
        <v>19</v>
      </c>
      <c r="E10" s="17">
        <v>9.08</v>
      </c>
      <c r="F10" s="17" t="s">
        <v>22</v>
      </c>
      <c r="G10" s="17">
        <v>0.81111111111111112</v>
      </c>
      <c r="H10" s="18">
        <v>83.557046979865774</v>
      </c>
      <c r="I10" s="29" t="s">
        <v>32</v>
      </c>
      <c r="J10" s="7">
        <v>34.840000000000003</v>
      </c>
      <c r="K10" s="7">
        <v>3.73</v>
      </c>
      <c r="L10" s="7">
        <v>5.26</v>
      </c>
      <c r="M10" s="7">
        <v>0.56000000000000005</v>
      </c>
      <c r="N10" s="7">
        <v>2.0699999999999998</v>
      </c>
      <c r="O10" s="7">
        <v>12.04</v>
      </c>
      <c r="P10" s="7">
        <v>38.51</v>
      </c>
      <c r="Q10" s="7">
        <v>1.1499999999999999</v>
      </c>
      <c r="R10" s="7">
        <v>0.15</v>
      </c>
      <c r="S10" s="7">
        <v>0.57999999999999996</v>
      </c>
      <c r="T10" s="7">
        <f t="shared" si="0"/>
        <v>5.8164251207729469</v>
      </c>
      <c r="U10" s="3">
        <f t="shared" si="1"/>
        <v>55.189</v>
      </c>
    </row>
    <row r="11" spans="1:22" s="5" customFormat="1" x14ac:dyDescent="0.4">
      <c r="A11" s="20">
        <v>120</v>
      </c>
      <c r="B11" s="21">
        <v>10</v>
      </c>
      <c r="C11" s="22">
        <v>0.5</v>
      </c>
      <c r="D11" s="22" t="s">
        <v>19</v>
      </c>
      <c r="E11" s="20">
        <v>9.08</v>
      </c>
      <c r="F11" s="20" t="s">
        <v>22</v>
      </c>
      <c r="G11" s="20">
        <v>0.63888888888888884</v>
      </c>
      <c r="H11" s="21">
        <v>88.590604026845639</v>
      </c>
      <c r="I11" s="31" t="s">
        <v>33</v>
      </c>
      <c r="J11" s="8">
        <v>34.840000000000003</v>
      </c>
      <c r="K11" s="8">
        <v>3.73</v>
      </c>
      <c r="L11" s="8">
        <v>5.26</v>
      </c>
      <c r="M11" s="8">
        <v>0.56000000000000005</v>
      </c>
      <c r="N11" s="8">
        <v>2.0699999999999998</v>
      </c>
      <c r="O11" s="8">
        <v>12.04</v>
      </c>
      <c r="P11" s="8">
        <v>38.51</v>
      </c>
      <c r="Q11" s="8">
        <v>1.1499999999999999</v>
      </c>
      <c r="R11" s="8">
        <v>0.15</v>
      </c>
      <c r="S11" s="8">
        <v>0.57999999999999996</v>
      </c>
      <c r="T11" s="8">
        <f t="shared" si="0"/>
        <v>5.8164251207729469</v>
      </c>
      <c r="U11" s="6">
        <f t="shared" si="1"/>
        <v>55.189</v>
      </c>
    </row>
    <row r="12" spans="1:22" x14ac:dyDescent="0.4">
      <c r="A12" s="14">
        <v>-45</v>
      </c>
      <c r="B12" s="15">
        <v>10</v>
      </c>
      <c r="C12" s="16">
        <v>1</v>
      </c>
      <c r="D12" s="16" t="s">
        <v>19</v>
      </c>
      <c r="E12" s="14">
        <v>9.0299999999999994</v>
      </c>
      <c r="F12" s="14" t="s">
        <v>21</v>
      </c>
      <c r="G12" s="23">
        <v>0.13500000000000001</v>
      </c>
      <c r="H12" s="16">
        <v>65.295629820051417</v>
      </c>
      <c r="I12" s="29" t="s">
        <v>33</v>
      </c>
      <c r="J12" s="7">
        <v>26.35</v>
      </c>
      <c r="K12" s="7">
        <v>10.94</v>
      </c>
      <c r="L12" s="7">
        <v>3.97</v>
      </c>
      <c r="M12" s="7">
        <v>0</v>
      </c>
      <c r="N12" s="7">
        <v>3.11</v>
      </c>
      <c r="O12" s="7">
        <v>7.35</v>
      </c>
      <c r="P12" s="7">
        <v>39.880000000000003</v>
      </c>
      <c r="Q12" s="7">
        <v>0.46</v>
      </c>
      <c r="R12" s="7">
        <v>0.54</v>
      </c>
      <c r="S12" s="7">
        <v>1.99</v>
      </c>
      <c r="T12" s="7">
        <f>O12/N12</f>
        <v>2.3633440514469455</v>
      </c>
      <c r="U12" s="3">
        <f t="shared" si="1"/>
        <v>62.38600000000001</v>
      </c>
    </row>
    <row r="13" spans="1:22" x14ac:dyDescent="0.4">
      <c r="A13" s="14">
        <v>-30</v>
      </c>
      <c r="B13" s="15">
        <v>10</v>
      </c>
      <c r="C13" s="16">
        <v>1</v>
      </c>
      <c r="D13" s="16" t="s">
        <v>19</v>
      </c>
      <c r="E13" s="14">
        <v>9.0299999999999994</v>
      </c>
      <c r="F13" s="14" t="s">
        <v>21</v>
      </c>
      <c r="G13" s="23">
        <v>0.113</v>
      </c>
      <c r="H13" s="16">
        <v>70.951156812339335</v>
      </c>
      <c r="I13" s="29" t="s">
        <v>32</v>
      </c>
      <c r="J13" s="7">
        <v>26.35</v>
      </c>
      <c r="K13" s="7">
        <v>10.94</v>
      </c>
      <c r="L13" s="7">
        <v>3.97</v>
      </c>
      <c r="M13" s="7">
        <v>0</v>
      </c>
      <c r="N13" s="7">
        <v>3.11</v>
      </c>
      <c r="O13" s="7">
        <v>7.35</v>
      </c>
      <c r="P13" s="7">
        <v>39.880000000000003</v>
      </c>
      <c r="Q13" s="7">
        <v>0.46</v>
      </c>
      <c r="R13" s="7">
        <v>0.54</v>
      </c>
      <c r="S13" s="7">
        <v>1.99</v>
      </c>
      <c r="T13" s="7">
        <f t="shared" ref="T13:T21" si="2">O13/N13</f>
        <v>2.3633440514469455</v>
      </c>
      <c r="U13" s="3">
        <f t="shared" si="1"/>
        <v>62.38600000000001</v>
      </c>
    </row>
    <row r="14" spans="1:22" x14ac:dyDescent="0.4">
      <c r="A14" s="14">
        <v>-15</v>
      </c>
      <c r="B14" s="15">
        <v>10</v>
      </c>
      <c r="C14" s="16">
        <v>1</v>
      </c>
      <c r="D14" s="16" t="s">
        <v>19</v>
      </c>
      <c r="E14" s="14">
        <v>9.0299999999999994</v>
      </c>
      <c r="F14" s="14" t="s">
        <v>21</v>
      </c>
      <c r="G14" s="23">
        <v>8.1000000000000003E-2</v>
      </c>
      <c r="H14" s="16">
        <v>80.719794344473002</v>
      </c>
      <c r="I14" s="29" t="s">
        <v>31</v>
      </c>
      <c r="J14" s="7">
        <v>26.35</v>
      </c>
      <c r="K14" s="7">
        <v>10.94</v>
      </c>
      <c r="L14" s="7">
        <v>3.97</v>
      </c>
      <c r="M14" s="7">
        <v>0</v>
      </c>
      <c r="N14" s="7">
        <v>3.11</v>
      </c>
      <c r="O14" s="7">
        <v>7.35</v>
      </c>
      <c r="P14" s="7">
        <v>39.880000000000003</v>
      </c>
      <c r="Q14" s="7">
        <v>0.46</v>
      </c>
      <c r="R14" s="7">
        <v>0.54</v>
      </c>
      <c r="S14" s="7">
        <v>1.99</v>
      </c>
      <c r="T14" s="7">
        <f t="shared" si="2"/>
        <v>2.3633440514469455</v>
      </c>
      <c r="U14" s="3">
        <f t="shared" si="1"/>
        <v>62.38600000000001</v>
      </c>
      <c r="V14" s="17"/>
    </row>
    <row r="15" spans="1:22" x14ac:dyDescent="0.4">
      <c r="A15" s="17">
        <v>0</v>
      </c>
      <c r="B15" s="18">
        <v>10</v>
      </c>
      <c r="C15" s="19">
        <v>1</v>
      </c>
      <c r="D15" s="19" t="s">
        <v>19</v>
      </c>
      <c r="E15" s="17">
        <v>9.0299999999999994</v>
      </c>
      <c r="F15" s="17" t="s">
        <v>22</v>
      </c>
      <c r="G15" s="24">
        <v>7.4999999999999997E-2</v>
      </c>
      <c r="H15" s="19">
        <v>79.177377892030847</v>
      </c>
      <c r="I15" s="29" t="s">
        <v>34</v>
      </c>
      <c r="J15" s="7">
        <v>26.35</v>
      </c>
      <c r="K15" s="7">
        <v>10.94</v>
      </c>
      <c r="L15" s="7">
        <v>3.97</v>
      </c>
      <c r="M15" s="7">
        <v>0</v>
      </c>
      <c r="N15" s="7">
        <v>3.11</v>
      </c>
      <c r="O15" s="7">
        <v>7.35</v>
      </c>
      <c r="P15" s="7">
        <v>39.880000000000003</v>
      </c>
      <c r="Q15" s="7">
        <v>0.46</v>
      </c>
      <c r="R15" s="7">
        <v>0.54</v>
      </c>
      <c r="S15" s="7">
        <v>1.99</v>
      </c>
      <c r="T15" s="7">
        <f t="shared" si="2"/>
        <v>2.3633440514469455</v>
      </c>
      <c r="U15" s="3">
        <f t="shared" si="1"/>
        <v>62.38600000000001</v>
      </c>
    </row>
    <row r="16" spans="1:22" x14ac:dyDescent="0.4">
      <c r="A16" s="17">
        <v>15</v>
      </c>
      <c r="B16" s="18">
        <v>10</v>
      </c>
      <c r="C16" s="19">
        <v>1</v>
      </c>
      <c r="D16" s="19" t="s">
        <v>19</v>
      </c>
      <c r="E16" s="17">
        <v>9.0299999999999994</v>
      </c>
      <c r="F16" s="17" t="s">
        <v>22</v>
      </c>
      <c r="G16" s="24">
        <v>6.5000000000000002E-2</v>
      </c>
      <c r="H16" s="19">
        <v>87.14652956298201</v>
      </c>
      <c r="I16" s="29" t="s">
        <v>32</v>
      </c>
      <c r="J16" s="7">
        <v>26.35</v>
      </c>
      <c r="K16" s="7">
        <v>10.94</v>
      </c>
      <c r="L16" s="7">
        <v>3.97</v>
      </c>
      <c r="M16" s="7">
        <v>0</v>
      </c>
      <c r="N16" s="7">
        <v>3.11</v>
      </c>
      <c r="O16" s="7">
        <v>7.35</v>
      </c>
      <c r="P16" s="7">
        <v>39.880000000000003</v>
      </c>
      <c r="Q16" s="7">
        <v>0.46</v>
      </c>
      <c r="R16" s="7">
        <v>0.54</v>
      </c>
      <c r="S16" s="7">
        <v>1.99</v>
      </c>
      <c r="T16" s="7">
        <f t="shared" si="2"/>
        <v>2.3633440514469455</v>
      </c>
      <c r="U16" s="3">
        <f t="shared" si="1"/>
        <v>62.38600000000001</v>
      </c>
    </row>
    <row r="17" spans="1:21" x14ac:dyDescent="0.4">
      <c r="A17" s="17">
        <v>30</v>
      </c>
      <c r="B17" s="18">
        <v>10</v>
      </c>
      <c r="C17" s="19">
        <v>1</v>
      </c>
      <c r="D17" s="19" t="s">
        <v>19</v>
      </c>
      <c r="E17" s="17">
        <v>9.0299999999999994</v>
      </c>
      <c r="F17" s="17" t="s">
        <v>22</v>
      </c>
      <c r="G17" s="24">
        <v>5.3999999999999999E-2</v>
      </c>
      <c r="H17" s="19">
        <v>86.11825192802057</v>
      </c>
      <c r="I17" s="29" t="s">
        <v>35</v>
      </c>
      <c r="J17" s="7">
        <v>26.35</v>
      </c>
      <c r="K17" s="7">
        <v>10.94</v>
      </c>
      <c r="L17" s="7">
        <v>3.97</v>
      </c>
      <c r="M17" s="7">
        <v>0</v>
      </c>
      <c r="N17" s="7">
        <v>3.11</v>
      </c>
      <c r="O17" s="7">
        <v>7.35</v>
      </c>
      <c r="P17" s="7">
        <v>39.880000000000003</v>
      </c>
      <c r="Q17" s="7">
        <v>0.46</v>
      </c>
      <c r="R17" s="7">
        <v>0.54</v>
      </c>
      <c r="S17" s="7">
        <v>1.99</v>
      </c>
      <c r="T17" s="7">
        <f t="shared" si="2"/>
        <v>2.3633440514469455</v>
      </c>
      <c r="U17" s="3">
        <f t="shared" si="1"/>
        <v>62.38600000000001</v>
      </c>
    </row>
    <row r="18" spans="1:21" x14ac:dyDescent="0.4">
      <c r="A18" s="17">
        <v>45</v>
      </c>
      <c r="B18" s="18">
        <v>10</v>
      </c>
      <c r="C18" s="19">
        <v>1</v>
      </c>
      <c r="D18" s="19" t="s">
        <v>19</v>
      </c>
      <c r="E18" s="17">
        <v>9.0299999999999994</v>
      </c>
      <c r="F18" s="17" t="s">
        <v>22</v>
      </c>
      <c r="G18" s="24">
        <v>5.2999999999999999E-2</v>
      </c>
      <c r="H18" s="19">
        <v>86.375321336760919</v>
      </c>
      <c r="I18" s="29" t="s">
        <v>36</v>
      </c>
      <c r="J18" s="7">
        <v>26.35</v>
      </c>
      <c r="K18" s="7">
        <v>10.94</v>
      </c>
      <c r="L18" s="7">
        <v>3.97</v>
      </c>
      <c r="M18" s="7">
        <v>0</v>
      </c>
      <c r="N18" s="7">
        <v>3.11</v>
      </c>
      <c r="O18" s="7">
        <v>7.35</v>
      </c>
      <c r="P18" s="7">
        <v>39.880000000000003</v>
      </c>
      <c r="Q18" s="7">
        <v>0.46</v>
      </c>
      <c r="R18" s="7">
        <v>0.54</v>
      </c>
      <c r="S18" s="7">
        <v>1.99</v>
      </c>
      <c r="T18" s="7">
        <f t="shared" si="2"/>
        <v>2.3633440514469455</v>
      </c>
      <c r="U18" s="3">
        <f t="shared" si="1"/>
        <v>62.38600000000001</v>
      </c>
    </row>
    <row r="19" spans="1:21" x14ac:dyDescent="0.4">
      <c r="A19" s="17">
        <v>60</v>
      </c>
      <c r="B19" s="18">
        <v>10</v>
      </c>
      <c r="C19" s="19">
        <v>1</v>
      </c>
      <c r="D19" s="19" t="s">
        <v>19</v>
      </c>
      <c r="E19" s="17">
        <v>9.0299999999999994</v>
      </c>
      <c r="F19" s="17" t="s">
        <v>22</v>
      </c>
      <c r="G19" s="24">
        <v>4.1000000000000002E-2</v>
      </c>
      <c r="H19" s="19">
        <v>89.460154241645256</v>
      </c>
      <c r="I19" s="29" t="s">
        <v>37</v>
      </c>
      <c r="J19" s="7">
        <v>26.35</v>
      </c>
      <c r="K19" s="7">
        <v>10.94</v>
      </c>
      <c r="L19" s="7">
        <v>3.97</v>
      </c>
      <c r="M19" s="7">
        <v>0</v>
      </c>
      <c r="N19" s="7">
        <v>3.11</v>
      </c>
      <c r="O19" s="7">
        <v>7.35</v>
      </c>
      <c r="P19" s="7">
        <v>39.880000000000003</v>
      </c>
      <c r="Q19" s="7">
        <v>0.46</v>
      </c>
      <c r="R19" s="7">
        <v>0.54</v>
      </c>
      <c r="S19" s="7">
        <v>1.99</v>
      </c>
      <c r="T19" s="7">
        <f t="shared" si="2"/>
        <v>2.3633440514469455</v>
      </c>
      <c r="U19" s="3">
        <f t="shared" si="1"/>
        <v>62.38600000000001</v>
      </c>
    </row>
    <row r="20" spans="1:21" x14ac:dyDescent="0.4">
      <c r="A20" s="17">
        <v>90</v>
      </c>
      <c r="B20" s="18">
        <v>10</v>
      </c>
      <c r="C20" s="19">
        <v>1</v>
      </c>
      <c r="D20" s="19" t="s">
        <v>19</v>
      </c>
      <c r="E20" s="17">
        <v>9.0299999999999994</v>
      </c>
      <c r="F20" s="17" t="s">
        <v>22</v>
      </c>
      <c r="G20" s="24">
        <v>3.7999999999999999E-2</v>
      </c>
      <c r="H20" s="19">
        <v>90.488431876606683</v>
      </c>
      <c r="I20" s="29" t="s">
        <v>32</v>
      </c>
      <c r="J20" s="7">
        <v>26.35</v>
      </c>
      <c r="K20" s="7">
        <v>10.94</v>
      </c>
      <c r="L20" s="7">
        <v>3.97</v>
      </c>
      <c r="M20" s="7">
        <v>0</v>
      </c>
      <c r="N20" s="7">
        <v>3.11</v>
      </c>
      <c r="O20" s="7">
        <v>7.35</v>
      </c>
      <c r="P20" s="7">
        <v>39.880000000000003</v>
      </c>
      <c r="Q20" s="7">
        <v>0.46</v>
      </c>
      <c r="R20" s="7">
        <v>0.54</v>
      </c>
      <c r="S20" s="7">
        <v>1.99</v>
      </c>
      <c r="T20" s="7">
        <f t="shared" si="2"/>
        <v>2.3633440514469455</v>
      </c>
      <c r="U20" s="3">
        <f t="shared" si="1"/>
        <v>62.38600000000001</v>
      </c>
    </row>
    <row r="21" spans="1:21" x14ac:dyDescent="0.4">
      <c r="A21" s="20">
        <v>120</v>
      </c>
      <c r="B21" s="21">
        <v>10</v>
      </c>
      <c r="C21" s="22">
        <v>1</v>
      </c>
      <c r="D21" s="22" t="s">
        <v>19</v>
      </c>
      <c r="E21" s="20">
        <v>9.0299999999999994</v>
      </c>
      <c r="F21" s="20" t="s">
        <v>22</v>
      </c>
      <c r="G21" s="25">
        <v>3.6999999999999998E-2</v>
      </c>
      <c r="H21" s="22">
        <v>90.231362467866333</v>
      </c>
      <c r="I21" s="31" t="s">
        <v>33</v>
      </c>
      <c r="J21" s="8">
        <v>26.35</v>
      </c>
      <c r="K21" s="8">
        <v>10.94</v>
      </c>
      <c r="L21" s="8">
        <v>3.97</v>
      </c>
      <c r="M21" s="8">
        <v>0</v>
      </c>
      <c r="N21" s="8">
        <v>3.11</v>
      </c>
      <c r="O21" s="8">
        <v>7.35</v>
      </c>
      <c r="P21" s="8">
        <v>39.880000000000003</v>
      </c>
      <c r="Q21" s="8">
        <v>0.46</v>
      </c>
      <c r="R21" s="8">
        <v>0.54</v>
      </c>
      <c r="S21" s="8">
        <v>1.99</v>
      </c>
      <c r="T21" s="8">
        <f t="shared" si="2"/>
        <v>2.3633440514469455</v>
      </c>
      <c r="U21" s="6">
        <f t="shared" si="1"/>
        <v>62.38600000000001</v>
      </c>
    </row>
    <row r="22" spans="1:21" x14ac:dyDescent="0.4">
      <c r="A22" s="14">
        <v>-45</v>
      </c>
      <c r="B22" s="15">
        <v>20</v>
      </c>
      <c r="C22" s="16">
        <v>1</v>
      </c>
      <c r="D22" s="16" t="s">
        <v>19</v>
      </c>
      <c r="E22" s="14">
        <v>9</v>
      </c>
      <c r="F22" s="14" t="s">
        <v>21</v>
      </c>
      <c r="G22" s="14">
        <v>0.40799999999999997</v>
      </c>
      <c r="H22" s="16">
        <v>37.423312883435585</v>
      </c>
      <c r="I22" s="29" t="s">
        <v>33</v>
      </c>
      <c r="J22" s="7">
        <v>31.5</v>
      </c>
      <c r="K22" s="7">
        <v>4.88</v>
      </c>
      <c r="L22" s="7">
        <v>4.5</v>
      </c>
      <c r="M22" s="7">
        <v>0.23</v>
      </c>
      <c r="N22" s="7">
        <v>2.61</v>
      </c>
      <c r="O22" s="7">
        <v>9.23</v>
      </c>
      <c r="P22" s="7">
        <v>39.409999999999997</v>
      </c>
      <c r="Q22" s="7">
        <v>0.81</v>
      </c>
      <c r="R22" s="7">
        <v>0.35</v>
      </c>
      <c r="S22" s="7">
        <v>1.29</v>
      </c>
      <c r="T22" s="7">
        <f>O22/N22</f>
        <v>3.5363984674329507</v>
      </c>
      <c r="U22" s="3">
        <f t="shared" si="1"/>
        <v>54.773999999999994</v>
      </c>
    </row>
    <row r="23" spans="1:21" x14ac:dyDescent="0.4">
      <c r="A23" s="14">
        <v>-30</v>
      </c>
      <c r="B23" s="15">
        <v>20</v>
      </c>
      <c r="C23" s="16">
        <v>1</v>
      </c>
      <c r="D23" s="16" t="s">
        <v>19</v>
      </c>
      <c r="E23" s="14">
        <v>9</v>
      </c>
      <c r="F23" s="14" t="s">
        <v>21</v>
      </c>
      <c r="G23" s="14">
        <v>0.32600000000000001</v>
      </c>
      <c r="H23" s="16">
        <v>50</v>
      </c>
      <c r="I23" s="29" t="s">
        <v>32</v>
      </c>
      <c r="J23" s="7">
        <v>31.5</v>
      </c>
      <c r="K23" s="7">
        <v>4.88</v>
      </c>
      <c r="L23" s="7">
        <v>4.5</v>
      </c>
      <c r="M23" s="7">
        <v>0.23</v>
      </c>
      <c r="N23" s="7">
        <v>2.61</v>
      </c>
      <c r="O23" s="7">
        <v>9.23</v>
      </c>
      <c r="P23" s="7">
        <v>39.409999999999997</v>
      </c>
      <c r="Q23" s="7">
        <v>0.81</v>
      </c>
      <c r="R23" s="7">
        <v>0.35</v>
      </c>
      <c r="S23" s="7">
        <v>1.29</v>
      </c>
      <c r="T23" s="7">
        <f t="shared" ref="T23:T31" si="3">O23/N23</f>
        <v>3.5363984674329507</v>
      </c>
      <c r="U23" s="3">
        <f t="shared" si="1"/>
        <v>54.773999999999994</v>
      </c>
    </row>
    <row r="24" spans="1:21" x14ac:dyDescent="0.4">
      <c r="A24" s="14">
        <v>-15</v>
      </c>
      <c r="B24" s="15">
        <v>20</v>
      </c>
      <c r="C24" s="16">
        <v>1</v>
      </c>
      <c r="D24" s="16" t="s">
        <v>19</v>
      </c>
      <c r="E24" s="14">
        <v>9</v>
      </c>
      <c r="F24" s="14" t="s">
        <v>21</v>
      </c>
      <c r="G24" s="14">
        <v>0.30399999999999999</v>
      </c>
      <c r="H24" s="16">
        <v>53.374233128834362</v>
      </c>
      <c r="I24" s="29" t="s">
        <v>32</v>
      </c>
      <c r="J24" s="7">
        <v>31.5</v>
      </c>
      <c r="K24" s="7">
        <v>4.88</v>
      </c>
      <c r="L24" s="7">
        <v>4.5</v>
      </c>
      <c r="M24" s="7">
        <v>0.23</v>
      </c>
      <c r="N24" s="7">
        <v>2.61</v>
      </c>
      <c r="O24" s="7">
        <v>9.23</v>
      </c>
      <c r="P24" s="7">
        <v>39.409999999999997</v>
      </c>
      <c r="Q24" s="7">
        <v>0.81</v>
      </c>
      <c r="R24" s="7">
        <v>0.35</v>
      </c>
      <c r="S24" s="7">
        <v>1.29</v>
      </c>
      <c r="T24" s="7">
        <f t="shared" si="3"/>
        <v>3.5363984674329507</v>
      </c>
      <c r="U24" s="3">
        <f t="shared" si="1"/>
        <v>54.773999999999994</v>
      </c>
    </row>
    <row r="25" spans="1:21" x14ac:dyDescent="0.4">
      <c r="A25" s="17">
        <v>0</v>
      </c>
      <c r="B25" s="18">
        <v>20</v>
      </c>
      <c r="C25" s="19">
        <v>1</v>
      </c>
      <c r="D25" s="19" t="s">
        <v>19</v>
      </c>
      <c r="E25" s="17">
        <v>9</v>
      </c>
      <c r="F25" s="17" t="s">
        <v>22</v>
      </c>
      <c r="G25" s="17">
        <v>0.23400000000000001</v>
      </c>
      <c r="H25" s="19">
        <v>64.110429447852766</v>
      </c>
      <c r="I25" s="29" t="s">
        <v>31</v>
      </c>
      <c r="J25" s="7">
        <v>31.5</v>
      </c>
      <c r="K25" s="7">
        <v>4.88</v>
      </c>
      <c r="L25" s="7">
        <v>4.5</v>
      </c>
      <c r="M25" s="7">
        <v>0.23</v>
      </c>
      <c r="N25" s="7">
        <v>2.61</v>
      </c>
      <c r="O25" s="7">
        <v>9.23</v>
      </c>
      <c r="P25" s="7">
        <v>39.409999999999997</v>
      </c>
      <c r="Q25" s="7">
        <v>0.81</v>
      </c>
      <c r="R25" s="7">
        <v>0.35</v>
      </c>
      <c r="S25" s="7">
        <v>1.29</v>
      </c>
      <c r="T25" s="7">
        <f t="shared" si="3"/>
        <v>3.5363984674329507</v>
      </c>
      <c r="U25" s="3">
        <f t="shared" si="1"/>
        <v>54.773999999999994</v>
      </c>
    </row>
    <row r="26" spans="1:21" x14ac:dyDescent="0.4">
      <c r="A26" s="17">
        <v>15</v>
      </c>
      <c r="B26" s="18">
        <v>20</v>
      </c>
      <c r="C26" s="19">
        <v>1</v>
      </c>
      <c r="D26" s="19" t="s">
        <v>19</v>
      </c>
      <c r="E26" s="17">
        <v>9</v>
      </c>
      <c r="F26" s="17" t="s">
        <v>22</v>
      </c>
      <c r="G26" s="17">
        <v>0.21199999999999999</v>
      </c>
      <c r="H26" s="19">
        <v>67.484662576687128</v>
      </c>
      <c r="I26" s="29" t="s">
        <v>35</v>
      </c>
      <c r="J26" s="7">
        <v>31.5</v>
      </c>
      <c r="K26" s="7">
        <v>4.88</v>
      </c>
      <c r="L26" s="7">
        <v>4.5</v>
      </c>
      <c r="M26" s="7">
        <v>0.23</v>
      </c>
      <c r="N26" s="7">
        <v>2.61</v>
      </c>
      <c r="O26" s="7">
        <v>9.23</v>
      </c>
      <c r="P26" s="7">
        <v>39.409999999999997</v>
      </c>
      <c r="Q26" s="7">
        <v>0.81</v>
      </c>
      <c r="R26" s="7">
        <v>0.35</v>
      </c>
      <c r="S26" s="7">
        <v>1.29</v>
      </c>
      <c r="T26" s="7">
        <f t="shared" si="3"/>
        <v>3.5363984674329507</v>
      </c>
      <c r="U26" s="3">
        <f t="shared" si="1"/>
        <v>54.773999999999994</v>
      </c>
    </row>
    <row r="27" spans="1:21" x14ac:dyDescent="0.4">
      <c r="A27" s="17">
        <v>30</v>
      </c>
      <c r="B27" s="18">
        <v>20</v>
      </c>
      <c r="C27" s="19">
        <v>1</v>
      </c>
      <c r="D27" s="19" t="s">
        <v>19</v>
      </c>
      <c r="E27" s="17">
        <v>9</v>
      </c>
      <c r="F27" s="17" t="s">
        <v>22</v>
      </c>
      <c r="G27" s="17">
        <v>0.20100000000000001</v>
      </c>
      <c r="H27" s="19">
        <v>69.171779141104295</v>
      </c>
      <c r="I27" s="29" t="s">
        <v>31</v>
      </c>
      <c r="J27" s="7">
        <v>31.5</v>
      </c>
      <c r="K27" s="7">
        <v>4.88</v>
      </c>
      <c r="L27" s="7">
        <v>4.5</v>
      </c>
      <c r="M27" s="7">
        <v>0.23</v>
      </c>
      <c r="N27" s="7">
        <v>2.61</v>
      </c>
      <c r="O27" s="7">
        <v>9.23</v>
      </c>
      <c r="P27" s="7">
        <v>39.409999999999997</v>
      </c>
      <c r="Q27" s="7">
        <v>0.81</v>
      </c>
      <c r="R27" s="7">
        <v>0.35</v>
      </c>
      <c r="S27" s="7">
        <v>1.29</v>
      </c>
      <c r="T27" s="7">
        <f t="shared" si="3"/>
        <v>3.5363984674329507</v>
      </c>
      <c r="U27" s="3">
        <f t="shared" si="1"/>
        <v>54.773999999999994</v>
      </c>
    </row>
    <row r="28" spans="1:21" x14ac:dyDescent="0.4">
      <c r="A28" s="17">
        <v>45</v>
      </c>
      <c r="B28" s="18">
        <v>20</v>
      </c>
      <c r="C28" s="19">
        <v>1</v>
      </c>
      <c r="D28" s="19" t="s">
        <v>19</v>
      </c>
      <c r="E28" s="17">
        <v>9</v>
      </c>
      <c r="F28" s="17" t="s">
        <v>22</v>
      </c>
      <c r="G28" s="17">
        <v>0.129</v>
      </c>
      <c r="H28" s="19">
        <v>80.214723926380373</v>
      </c>
      <c r="I28" s="29" t="s">
        <v>36</v>
      </c>
      <c r="J28" s="7">
        <v>31.5</v>
      </c>
      <c r="K28" s="7">
        <v>4.88</v>
      </c>
      <c r="L28" s="7">
        <v>4.5</v>
      </c>
      <c r="M28" s="7">
        <v>0.23</v>
      </c>
      <c r="N28" s="7">
        <v>2.61</v>
      </c>
      <c r="O28" s="7">
        <v>9.23</v>
      </c>
      <c r="P28" s="7">
        <v>39.409999999999997</v>
      </c>
      <c r="Q28" s="7">
        <v>0.81</v>
      </c>
      <c r="R28" s="7">
        <v>0.35</v>
      </c>
      <c r="S28" s="7">
        <v>1.29</v>
      </c>
      <c r="T28" s="7">
        <f t="shared" si="3"/>
        <v>3.5363984674329507</v>
      </c>
      <c r="U28" s="3">
        <f t="shared" si="1"/>
        <v>54.773999999999994</v>
      </c>
    </row>
    <row r="29" spans="1:21" x14ac:dyDescent="0.4">
      <c r="A29" s="17">
        <v>60</v>
      </c>
      <c r="B29" s="18">
        <v>20</v>
      </c>
      <c r="C29" s="19">
        <v>1</v>
      </c>
      <c r="D29" s="19" t="s">
        <v>19</v>
      </c>
      <c r="E29" s="17">
        <v>9</v>
      </c>
      <c r="F29" s="17" t="s">
        <v>22</v>
      </c>
      <c r="G29" s="17">
        <v>0.13200000000000001</v>
      </c>
      <c r="H29" s="19">
        <v>79.754601226993856</v>
      </c>
      <c r="I29" s="29" t="s">
        <v>37</v>
      </c>
      <c r="J29" s="7">
        <v>31.5</v>
      </c>
      <c r="K29" s="7">
        <v>4.88</v>
      </c>
      <c r="L29" s="7">
        <v>4.5</v>
      </c>
      <c r="M29" s="7">
        <v>0.23</v>
      </c>
      <c r="N29" s="7">
        <v>2.61</v>
      </c>
      <c r="O29" s="7">
        <v>9.23</v>
      </c>
      <c r="P29" s="7">
        <v>39.409999999999997</v>
      </c>
      <c r="Q29" s="7">
        <v>0.81</v>
      </c>
      <c r="R29" s="7">
        <v>0.35</v>
      </c>
      <c r="S29" s="7">
        <v>1.29</v>
      </c>
      <c r="T29" s="7">
        <f t="shared" si="3"/>
        <v>3.5363984674329507</v>
      </c>
      <c r="U29" s="3">
        <f t="shared" si="1"/>
        <v>54.773999999999994</v>
      </c>
    </row>
    <row r="30" spans="1:21" x14ac:dyDescent="0.4">
      <c r="A30" s="17">
        <v>90</v>
      </c>
      <c r="B30" s="18">
        <v>20</v>
      </c>
      <c r="C30" s="19">
        <v>1</v>
      </c>
      <c r="D30" s="19" t="s">
        <v>19</v>
      </c>
      <c r="E30" s="17">
        <v>9</v>
      </c>
      <c r="F30" s="17" t="s">
        <v>22</v>
      </c>
      <c r="G30" s="17">
        <v>0.11799999999999999</v>
      </c>
      <c r="H30" s="19">
        <v>81.901840490797554</v>
      </c>
      <c r="I30" s="29" t="s">
        <v>35</v>
      </c>
      <c r="J30" s="7">
        <v>31.5</v>
      </c>
      <c r="K30" s="7">
        <v>4.88</v>
      </c>
      <c r="L30" s="7">
        <v>4.5</v>
      </c>
      <c r="M30" s="7">
        <v>0.23</v>
      </c>
      <c r="N30" s="7">
        <v>2.61</v>
      </c>
      <c r="O30" s="7">
        <v>9.23</v>
      </c>
      <c r="P30" s="7">
        <v>39.409999999999997</v>
      </c>
      <c r="Q30" s="7">
        <v>0.81</v>
      </c>
      <c r="R30" s="7">
        <v>0.35</v>
      </c>
      <c r="S30" s="7">
        <v>1.29</v>
      </c>
      <c r="T30" s="7">
        <f t="shared" si="3"/>
        <v>3.5363984674329507</v>
      </c>
      <c r="U30" s="3">
        <f t="shared" si="1"/>
        <v>54.773999999999994</v>
      </c>
    </row>
    <row r="31" spans="1:21" x14ac:dyDescent="0.4">
      <c r="A31" s="20">
        <v>120</v>
      </c>
      <c r="B31" s="21">
        <v>20</v>
      </c>
      <c r="C31" s="22">
        <v>1</v>
      </c>
      <c r="D31" s="22" t="s">
        <v>19</v>
      </c>
      <c r="E31" s="20">
        <v>9</v>
      </c>
      <c r="F31" s="20" t="s">
        <v>22</v>
      </c>
      <c r="G31" s="20">
        <v>7.9000000000000001E-2</v>
      </c>
      <c r="H31" s="22">
        <v>87.883435582822088</v>
      </c>
      <c r="I31" s="31" t="s">
        <v>35</v>
      </c>
      <c r="J31" s="8">
        <v>31.5</v>
      </c>
      <c r="K31" s="8">
        <v>4.88</v>
      </c>
      <c r="L31" s="8">
        <v>4.5</v>
      </c>
      <c r="M31" s="8">
        <v>0.23</v>
      </c>
      <c r="N31" s="8">
        <v>2.61</v>
      </c>
      <c r="O31" s="8">
        <v>9.23</v>
      </c>
      <c r="P31" s="8">
        <v>39.409999999999997</v>
      </c>
      <c r="Q31" s="8">
        <v>0.81</v>
      </c>
      <c r="R31" s="8">
        <v>0.35</v>
      </c>
      <c r="S31" s="8">
        <v>1.29</v>
      </c>
      <c r="T31" s="8">
        <f t="shared" si="3"/>
        <v>3.5363984674329507</v>
      </c>
      <c r="U31" s="6">
        <f t="shared" si="1"/>
        <v>54.773999999999994</v>
      </c>
    </row>
    <row r="32" spans="1:21" x14ac:dyDescent="0.4">
      <c r="A32" s="14">
        <v>-45</v>
      </c>
      <c r="B32" s="15">
        <v>20</v>
      </c>
      <c r="C32" s="16">
        <v>0.5</v>
      </c>
      <c r="D32" s="16" t="s">
        <v>19</v>
      </c>
      <c r="E32" s="14">
        <v>9.07</v>
      </c>
      <c r="F32" s="14" t="s">
        <v>21</v>
      </c>
      <c r="G32" s="14">
        <v>0.629</v>
      </c>
      <c r="H32" s="15">
        <v>4.6969696969697008</v>
      </c>
      <c r="I32" s="29" t="s">
        <v>31</v>
      </c>
      <c r="J32" s="7">
        <v>27.31</v>
      </c>
      <c r="K32" s="7">
        <v>3.92</v>
      </c>
      <c r="L32" s="7">
        <v>3.81</v>
      </c>
      <c r="M32" s="7">
        <v>0.19</v>
      </c>
      <c r="N32" s="7">
        <v>2.78</v>
      </c>
      <c r="O32" s="7">
        <v>9.5500000000000007</v>
      </c>
      <c r="P32" s="7">
        <v>43.2</v>
      </c>
      <c r="Q32" s="7">
        <v>0.62</v>
      </c>
      <c r="R32" s="7">
        <v>0.44</v>
      </c>
      <c r="S32" s="7">
        <v>1.08</v>
      </c>
      <c r="T32" s="7">
        <f>O32/N32</f>
        <v>3.4352517985611515</v>
      </c>
      <c r="U32" s="3">
        <f t="shared" si="1"/>
        <v>55.966000000000001</v>
      </c>
    </row>
    <row r="33" spans="1:21" x14ac:dyDescent="0.4">
      <c r="A33" s="14">
        <v>-30</v>
      </c>
      <c r="B33" s="15">
        <v>20</v>
      </c>
      <c r="C33" s="16">
        <v>0.5</v>
      </c>
      <c r="D33" s="16" t="s">
        <v>19</v>
      </c>
      <c r="E33" s="14">
        <v>9.07</v>
      </c>
      <c r="F33" s="14" t="s">
        <v>21</v>
      </c>
      <c r="G33" s="14">
        <v>0.57399999999999995</v>
      </c>
      <c r="H33" s="15">
        <v>13.030303030303042</v>
      </c>
      <c r="I33" s="29" t="s">
        <v>33</v>
      </c>
      <c r="J33" s="7">
        <v>27.31</v>
      </c>
      <c r="K33" s="7">
        <v>3.92</v>
      </c>
      <c r="L33" s="7">
        <v>3.81</v>
      </c>
      <c r="M33" s="7">
        <v>0.19</v>
      </c>
      <c r="N33" s="7">
        <v>2.78</v>
      </c>
      <c r="O33" s="7">
        <v>9.5500000000000007</v>
      </c>
      <c r="P33" s="7">
        <v>43.2</v>
      </c>
      <c r="Q33" s="7">
        <v>0.62</v>
      </c>
      <c r="R33" s="7">
        <v>0.44</v>
      </c>
      <c r="S33" s="7">
        <v>1.08</v>
      </c>
      <c r="T33" s="7">
        <f t="shared" ref="T33:T41" si="4">O33/N33</f>
        <v>3.4352517985611515</v>
      </c>
      <c r="U33" s="3">
        <f t="shared" si="1"/>
        <v>55.966000000000001</v>
      </c>
    </row>
    <row r="34" spans="1:21" x14ac:dyDescent="0.4">
      <c r="A34" s="14">
        <v>-15</v>
      </c>
      <c r="B34" s="15">
        <v>20</v>
      </c>
      <c r="C34" s="16">
        <v>0.5</v>
      </c>
      <c r="D34" s="16" t="s">
        <v>19</v>
      </c>
      <c r="E34" s="14">
        <v>9.07</v>
      </c>
      <c r="F34" s="14" t="s">
        <v>21</v>
      </c>
      <c r="G34" s="14">
        <v>0.57199999999999995</v>
      </c>
      <c r="H34" s="15">
        <v>13.333333333333345</v>
      </c>
      <c r="I34" s="29" t="s">
        <v>32</v>
      </c>
      <c r="J34" s="7">
        <v>27.31</v>
      </c>
      <c r="K34" s="7">
        <v>3.92</v>
      </c>
      <c r="L34" s="7">
        <v>3.81</v>
      </c>
      <c r="M34" s="7">
        <v>0.19</v>
      </c>
      <c r="N34" s="7">
        <v>2.78</v>
      </c>
      <c r="O34" s="7">
        <v>9.5500000000000007</v>
      </c>
      <c r="P34" s="7">
        <v>43.2</v>
      </c>
      <c r="Q34" s="7">
        <v>0.62</v>
      </c>
      <c r="R34" s="7">
        <v>0.44</v>
      </c>
      <c r="S34" s="7">
        <v>1.08</v>
      </c>
      <c r="T34" s="7">
        <f t="shared" si="4"/>
        <v>3.4352517985611515</v>
      </c>
      <c r="U34" s="3">
        <f t="shared" si="1"/>
        <v>55.966000000000001</v>
      </c>
    </row>
    <row r="35" spans="1:21" x14ac:dyDescent="0.4">
      <c r="A35" s="17">
        <v>0</v>
      </c>
      <c r="B35" s="18">
        <v>20</v>
      </c>
      <c r="C35" s="19">
        <v>0.5</v>
      </c>
      <c r="D35" s="19" t="s">
        <v>19</v>
      </c>
      <c r="E35" s="17">
        <v>9.07</v>
      </c>
      <c r="F35" s="17" t="s">
        <v>22</v>
      </c>
      <c r="G35" s="17">
        <v>0.54800000000000004</v>
      </c>
      <c r="H35" s="18">
        <v>16.969696969696969</v>
      </c>
      <c r="I35" s="29" t="s">
        <v>35</v>
      </c>
      <c r="J35" s="7">
        <v>27.31</v>
      </c>
      <c r="K35" s="7">
        <v>3.92</v>
      </c>
      <c r="L35" s="7">
        <v>3.81</v>
      </c>
      <c r="M35" s="7">
        <v>0.19</v>
      </c>
      <c r="N35" s="7">
        <v>2.78</v>
      </c>
      <c r="O35" s="7">
        <v>9.5500000000000007</v>
      </c>
      <c r="P35" s="7">
        <v>43.2</v>
      </c>
      <c r="Q35" s="7">
        <v>0.62</v>
      </c>
      <c r="R35" s="7">
        <v>0.44</v>
      </c>
      <c r="S35" s="7">
        <v>1.08</v>
      </c>
      <c r="T35" s="7">
        <f t="shared" si="4"/>
        <v>3.4352517985611515</v>
      </c>
      <c r="U35" s="3">
        <f t="shared" si="1"/>
        <v>55.966000000000001</v>
      </c>
    </row>
    <row r="36" spans="1:21" x14ac:dyDescent="0.4">
      <c r="A36" s="17">
        <v>15</v>
      </c>
      <c r="B36" s="18">
        <v>20</v>
      </c>
      <c r="C36" s="19">
        <v>0.5</v>
      </c>
      <c r="D36" s="19" t="s">
        <v>19</v>
      </c>
      <c r="E36" s="17">
        <v>9.07</v>
      </c>
      <c r="F36" s="17" t="s">
        <v>22</v>
      </c>
      <c r="G36" s="17">
        <v>0.51900000000000002</v>
      </c>
      <c r="H36" s="18">
        <v>21.363636363636367</v>
      </c>
      <c r="I36" s="29" t="s">
        <v>36</v>
      </c>
      <c r="J36" s="7">
        <v>27.31</v>
      </c>
      <c r="K36" s="7">
        <v>3.92</v>
      </c>
      <c r="L36" s="7">
        <v>3.81</v>
      </c>
      <c r="M36" s="7">
        <v>0.19</v>
      </c>
      <c r="N36" s="7">
        <v>2.78</v>
      </c>
      <c r="O36" s="7">
        <v>9.5500000000000007</v>
      </c>
      <c r="P36" s="7">
        <v>43.2</v>
      </c>
      <c r="Q36" s="7">
        <v>0.62</v>
      </c>
      <c r="R36" s="7">
        <v>0.44</v>
      </c>
      <c r="S36" s="7">
        <v>1.08</v>
      </c>
      <c r="T36" s="7">
        <f t="shared" si="4"/>
        <v>3.4352517985611515</v>
      </c>
      <c r="U36" s="3">
        <f t="shared" si="1"/>
        <v>55.966000000000001</v>
      </c>
    </row>
    <row r="37" spans="1:21" x14ac:dyDescent="0.4">
      <c r="A37" s="17">
        <v>30</v>
      </c>
      <c r="B37" s="18">
        <v>20</v>
      </c>
      <c r="C37" s="19">
        <v>0.5</v>
      </c>
      <c r="D37" s="19" t="s">
        <v>19</v>
      </c>
      <c r="E37" s="17">
        <v>9.07</v>
      </c>
      <c r="F37" s="17" t="s">
        <v>22</v>
      </c>
      <c r="G37" s="17">
        <v>0.49299999999999999</v>
      </c>
      <c r="H37" s="18">
        <v>25.303030303030305</v>
      </c>
      <c r="I37" s="29" t="s">
        <v>35</v>
      </c>
      <c r="J37" s="7">
        <v>27.31</v>
      </c>
      <c r="K37" s="7">
        <v>3.92</v>
      </c>
      <c r="L37" s="7">
        <v>3.81</v>
      </c>
      <c r="M37" s="7">
        <v>0.19</v>
      </c>
      <c r="N37" s="7">
        <v>2.78</v>
      </c>
      <c r="O37" s="7">
        <v>9.5500000000000007</v>
      </c>
      <c r="P37" s="7">
        <v>43.2</v>
      </c>
      <c r="Q37" s="7">
        <v>0.62</v>
      </c>
      <c r="R37" s="7">
        <v>0.44</v>
      </c>
      <c r="S37" s="7">
        <v>1.08</v>
      </c>
      <c r="T37" s="7">
        <f t="shared" si="4"/>
        <v>3.4352517985611515</v>
      </c>
      <c r="U37" s="3">
        <f t="shared" si="1"/>
        <v>55.966000000000001</v>
      </c>
    </row>
    <row r="38" spans="1:21" x14ac:dyDescent="0.4">
      <c r="A38" s="17">
        <v>45</v>
      </c>
      <c r="B38" s="18">
        <v>20</v>
      </c>
      <c r="C38" s="19">
        <v>0.5</v>
      </c>
      <c r="D38" s="19" t="s">
        <v>19</v>
      </c>
      <c r="E38" s="17">
        <v>9.07</v>
      </c>
      <c r="F38" s="17" t="s">
        <v>22</v>
      </c>
      <c r="G38" s="17">
        <v>0.45</v>
      </c>
      <c r="H38" s="18">
        <v>31.818181818181817</v>
      </c>
      <c r="I38" s="29" t="s">
        <v>36</v>
      </c>
      <c r="J38" s="7">
        <v>27.31</v>
      </c>
      <c r="K38" s="7">
        <v>3.92</v>
      </c>
      <c r="L38" s="7">
        <v>3.81</v>
      </c>
      <c r="M38" s="7">
        <v>0.19</v>
      </c>
      <c r="N38" s="7">
        <v>2.78</v>
      </c>
      <c r="O38" s="7">
        <v>9.5500000000000007</v>
      </c>
      <c r="P38" s="7">
        <v>43.2</v>
      </c>
      <c r="Q38" s="7">
        <v>0.62</v>
      </c>
      <c r="R38" s="7">
        <v>0.44</v>
      </c>
      <c r="S38" s="7">
        <v>1.08</v>
      </c>
      <c r="T38" s="7">
        <f t="shared" si="4"/>
        <v>3.4352517985611515</v>
      </c>
      <c r="U38" s="3">
        <f t="shared" si="1"/>
        <v>55.966000000000001</v>
      </c>
    </row>
    <row r="39" spans="1:21" x14ac:dyDescent="0.4">
      <c r="A39" s="17">
        <v>60</v>
      </c>
      <c r="B39" s="18">
        <v>20</v>
      </c>
      <c r="C39" s="19">
        <v>0.5</v>
      </c>
      <c r="D39" s="19" t="s">
        <v>19</v>
      </c>
      <c r="E39" s="17">
        <v>9.07</v>
      </c>
      <c r="F39" s="17" t="s">
        <v>22</v>
      </c>
      <c r="G39" s="17">
        <v>0.38400000000000001</v>
      </c>
      <c r="H39" s="18">
        <v>41.81818181818182</v>
      </c>
      <c r="I39" s="29" t="s">
        <v>37</v>
      </c>
      <c r="J39" s="7">
        <v>27.31</v>
      </c>
      <c r="K39" s="7">
        <v>3.92</v>
      </c>
      <c r="L39" s="7">
        <v>3.81</v>
      </c>
      <c r="M39" s="7">
        <v>0.19</v>
      </c>
      <c r="N39" s="7">
        <v>2.78</v>
      </c>
      <c r="O39" s="7">
        <v>9.5500000000000007</v>
      </c>
      <c r="P39" s="7">
        <v>43.2</v>
      </c>
      <c r="Q39" s="7">
        <v>0.62</v>
      </c>
      <c r="R39" s="7">
        <v>0.44</v>
      </c>
      <c r="S39" s="7">
        <v>1.08</v>
      </c>
      <c r="T39" s="7">
        <f t="shared" si="4"/>
        <v>3.4352517985611515</v>
      </c>
      <c r="U39" s="3">
        <f t="shared" si="1"/>
        <v>55.966000000000001</v>
      </c>
    </row>
    <row r="40" spans="1:21" x14ac:dyDescent="0.4">
      <c r="A40" s="17">
        <v>90</v>
      </c>
      <c r="B40" s="18">
        <v>20</v>
      </c>
      <c r="C40" s="19">
        <v>0.5</v>
      </c>
      <c r="D40" s="19" t="s">
        <v>19</v>
      </c>
      <c r="E40" s="17">
        <v>9.07</v>
      </c>
      <c r="F40" s="17" t="s">
        <v>22</v>
      </c>
      <c r="G40" s="17">
        <v>0.29699999999999999</v>
      </c>
      <c r="H40" s="18">
        <v>55.000000000000007</v>
      </c>
      <c r="I40" s="29" t="s">
        <v>32</v>
      </c>
      <c r="J40" s="7">
        <v>27.31</v>
      </c>
      <c r="K40" s="7">
        <v>3.92</v>
      </c>
      <c r="L40" s="7">
        <v>3.81</v>
      </c>
      <c r="M40" s="7">
        <v>0.19</v>
      </c>
      <c r="N40" s="7">
        <v>2.78</v>
      </c>
      <c r="O40" s="7">
        <v>9.5500000000000007</v>
      </c>
      <c r="P40" s="7">
        <v>43.2</v>
      </c>
      <c r="Q40" s="7">
        <v>0.62</v>
      </c>
      <c r="R40" s="7">
        <v>0.44</v>
      </c>
      <c r="S40" s="7">
        <v>1.08</v>
      </c>
      <c r="T40" s="7">
        <f t="shared" si="4"/>
        <v>3.4352517985611515</v>
      </c>
      <c r="U40" s="3">
        <f t="shared" si="1"/>
        <v>55.966000000000001</v>
      </c>
    </row>
    <row r="41" spans="1:21" x14ac:dyDescent="0.4">
      <c r="A41" s="20">
        <v>120</v>
      </c>
      <c r="B41" s="21">
        <v>20</v>
      </c>
      <c r="C41" s="22">
        <v>0.5</v>
      </c>
      <c r="D41" s="22" t="s">
        <v>19</v>
      </c>
      <c r="E41" s="20">
        <v>9.07</v>
      </c>
      <c r="F41" s="20" t="s">
        <v>22</v>
      </c>
      <c r="G41" s="20">
        <v>0.23</v>
      </c>
      <c r="H41" s="21">
        <v>65.151515151515156</v>
      </c>
      <c r="I41" s="29" t="s">
        <v>31</v>
      </c>
      <c r="J41" s="8">
        <v>27.31</v>
      </c>
      <c r="K41" s="8">
        <v>3.92</v>
      </c>
      <c r="L41" s="8">
        <v>3.81</v>
      </c>
      <c r="M41" s="8">
        <v>0.19</v>
      </c>
      <c r="N41" s="8">
        <v>2.78</v>
      </c>
      <c r="O41" s="8">
        <v>9.5500000000000007</v>
      </c>
      <c r="P41" s="8">
        <v>43.2</v>
      </c>
      <c r="Q41" s="8">
        <v>0.62</v>
      </c>
      <c r="R41" s="8">
        <v>0.44</v>
      </c>
      <c r="S41" s="8">
        <v>1.08</v>
      </c>
      <c r="T41" s="8">
        <f t="shared" si="4"/>
        <v>3.4352517985611515</v>
      </c>
      <c r="U41" s="6">
        <f t="shared" si="1"/>
        <v>55.966000000000001</v>
      </c>
    </row>
    <row r="42" spans="1:21" x14ac:dyDescent="0.4">
      <c r="A42" s="14">
        <v>-45</v>
      </c>
      <c r="B42" s="15">
        <v>20</v>
      </c>
      <c r="C42" s="16">
        <v>0.5</v>
      </c>
      <c r="D42" s="16" t="s">
        <v>23</v>
      </c>
      <c r="E42" s="14">
        <v>9.11</v>
      </c>
      <c r="F42" s="14" t="s">
        <v>21</v>
      </c>
      <c r="G42" s="14">
        <v>0.115</v>
      </c>
      <c r="H42" s="15">
        <f>($G$42-G42)/$G$42*100</f>
        <v>0</v>
      </c>
      <c r="I42" s="30" t="s">
        <v>27</v>
      </c>
      <c r="J42" s="26">
        <v>4.1100000000000003</v>
      </c>
      <c r="K42" s="26">
        <v>0</v>
      </c>
      <c r="L42" s="26">
        <v>93.5</v>
      </c>
      <c r="M42" s="26">
        <v>0</v>
      </c>
      <c r="N42" s="26">
        <v>0</v>
      </c>
      <c r="O42" s="26">
        <v>0</v>
      </c>
      <c r="P42" s="26">
        <v>5.22</v>
      </c>
      <c r="Q42" s="26">
        <v>0.18</v>
      </c>
      <c r="R42" s="26">
        <v>0</v>
      </c>
      <c r="S42" s="26">
        <v>0</v>
      </c>
      <c r="T42" s="7">
        <v>0</v>
      </c>
      <c r="U42" s="3">
        <f t="shared" si="1"/>
        <v>144.33599999999998</v>
      </c>
    </row>
    <row r="43" spans="1:21" x14ac:dyDescent="0.4">
      <c r="A43" s="14">
        <v>-30</v>
      </c>
      <c r="B43" s="15">
        <v>20</v>
      </c>
      <c r="C43" s="16">
        <v>0.5</v>
      </c>
      <c r="D43" s="16" t="s">
        <v>23</v>
      </c>
      <c r="E43" s="14">
        <v>9.11</v>
      </c>
      <c r="F43" s="14" t="s">
        <v>21</v>
      </c>
      <c r="G43" s="14">
        <v>7.6999999999999999E-2</v>
      </c>
      <c r="H43" s="15">
        <f t="shared" ref="H43:H51" si="5">($G$42-G43)/$G$42*100</f>
        <v>33.04347826086957</v>
      </c>
      <c r="I43" s="29" t="s">
        <v>29</v>
      </c>
      <c r="J43" s="26">
        <v>4.1100000000000003</v>
      </c>
      <c r="K43" s="26">
        <v>0</v>
      </c>
      <c r="L43" s="26">
        <v>93.5</v>
      </c>
      <c r="M43" s="26">
        <v>0</v>
      </c>
      <c r="N43" s="26">
        <v>0</v>
      </c>
      <c r="O43" s="26">
        <v>0</v>
      </c>
      <c r="P43" s="26">
        <v>5.22</v>
      </c>
      <c r="Q43" s="26">
        <v>0.18</v>
      </c>
      <c r="R43" s="26">
        <v>0</v>
      </c>
      <c r="S43" s="26">
        <v>0</v>
      </c>
      <c r="T43" s="7">
        <v>0</v>
      </c>
      <c r="U43" s="3">
        <f t="shared" si="1"/>
        <v>144.33599999999998</v>
      </c>
    </row>
    <row r="44" spans="1:21" x14ac:dyDescent="0.4">
      <c r="A44" s="14">
        <v>-15</v>
      </c>
      <c r="B44" s="15">
        <v>20</v>
      </c>
      <c r="C44" s="16">
        <v>0.5</v>
      </c>
      <c r="D44" s="16" t="s">
        <v>23</v>
      </c>
      <c r="E44" s="14">
        <v>9.11</v>
      </c>
      <c r="F44" s="14" t="s">
        <v>21</v>
      </c>
      <c r="G44" s="14">
        <v>5.8000000000000003E-2</v>
      </c>
      <c r="H44" s="15">
        <f t="shared" si="5"/>
        <v>49.565217391304344</v>
      </c>
      <c r="I44" s="29" t="s">
        <v>27</v>
      </c>
      <c r="J44" s="26">
        <v>4.1100000000000003</v>
      </c>
      <c r="K44" s="26">
        <v>0</v>
      </c>
      <c r="L44" s="26">
        <v>93.5</v>
      </c>
      <c r="M44" s="26">
        <v>0</v>
      </c>
      <c r="N44" s="26">
        <v>0</v>
      </c>
      <c r="O44" s="26">
        <v>0</v>
      </c>
      <c r="P44" s="26">
        <v>5.22</v>
      </c>
      <c r="Q44" s="26">
        <v>0.18</v>
      </c>
      <c r="R44" s="26">
        <v>0</v>
      </c>
      <c r="S44" s="26">
        <v>0</v>
      </c>
      <c r="T44" s="7">
        <v>0</v>
      </c>
      <c r="U44" s="3">
        <f t="shared" si="1"/>
        <v>144.33599999999998</v>
      </c>
    </row>
    <row r="45" spans="1:21" x14ac:dyDescent="0.4">
      <c r="A45" s="17">
        <v>0</v>
      </c>
      <c r="B45" s="18">
        <v>20</v>
      </c>
      <c r="C45" s="19">
        <v>0.5</v>
      </c>
      <c r="D45" s="19" t="s">
        <v>23</v>
      </c>
      <c r="E45" s="17">
        <v>9.11</v>
      </c>
      <c r="F45" s="17" t="s">
        <v>22</v>
      </c>
      <c r="G45" s="17">
        <v>5.3999999999999999E-2</v>
      </c>
      <c r="H45" s="19">
        <f t="shared" si="5"/>
        <v>53.04347826086957</v>
      </c>
      <c r="I45" s="29" t="s">
        <v>25</v>
      </c>
      <c r="J45" s="26">
        <v>4.1100000000000003</v>
      </c>
      <c r="K45" s="26">
        <v>0</v>
      </c>
      <c r="L45" s="26">
        <v>93.5</v>
      </c>
      <c r="M45" s="26">
        <v>0</v>
      </c>
      <c r="N45" s="26">
        <v>0</v>
      </c>
      <c r="O45" s="26">
        <v>0</v>
      </c>
      <c r="P45" s="26">
        <v>5.22</v>
      </c>
      <c r="Q45" s="26">
        <v>0.18</v>
      </c>
      <c r="R45" s="26">
        <v>0</v>
      </c>
      <c r="S45" s="26">
        <v>0</v>
      </c>
      <c r="T45" s="7">
        <v>0</v>
      </c>
      <c r="U45" s="3">
        <f t="shared" si="1"/>
        <v>144.33599999999998</v>
      </c>
    </row>
    <row r="46" spans="1:21" x14ac:dyDescent="0.4">
      <c r="A46" s="17">
        <v>15</v>
      </c>
      <c r="B46" s="18">
        <v>20</v>
      </c>
      <c r="C46" s="19">
        <v>0.5</v>
      </c>
      <c r="D46" s="19" t="s">
        <v>23</v>
      </c>
      <c r="E46" s="17">
        <v>9.11</v>
      </c>
      <c r="F46" s="17" t="s">
        <v>22</v>
      </c>
      <c r="G46" s="17">
        <v>4.7E-2</v>
      </c>
      <c r="H46" s="19">
        <f t="shared" si="5"/>
        <v>59.130434782608695</v>
      </c>
      <c r="I46" s="29" t="s">
        <v>26</v>
      </c>
      <c r="J46" s="26">
        <v>4.1100000000000003</v>
      </c>
      <c r="K46" s="26">
        <v>0</v>
      </c>
      <c r="L46" s="26">
        <v>93.5</v>
      </c>
      <c r="M46" s="26">
        <v>0</v>
      </c>
      <c r="N46" s="26">
        <v>0</v>
      </c>
      <c r="O46" s="26">
        <v>0</v>
      </c>
      <c r="P46" s="26">
        <v>5.22</v>
      </c>
      <c r="Q46" s="26">
        <v>0.18</v>
      </c>
      <c r="R46" s="26">
        <v>0</v>
      </c>
      <c r="S46" s="26">
        <v>0</v>
      </c>
      <c r="T46" s="7">
        <v>0</v>
      </c>
      <c r="U46" s="3">
        <f t="shared" si="1"/>
        <v>144.33599999999998</v>
      </c>
    </row>
    <row r="47" spans="1:21" x14ac:dyDescent="0.4">
      <c r="A47" s="17">
        <v>30</v>
      </c>
      <c r="B47" s="18">
        <v>20</v>
      </c>
      <c r="C47" s="19">
        <v>0.5</v>
      </c>
      <c r="D47" s="19" t="s">
        <v>23</v>
      </c>
      <c r="E47" s="17">
        <v>9.11</v>
      </c>
      <c r="F47" s="17" t="s">
        <v>22</v>
      </c>
      <c r="G47" s="17">
        <v>4.8000000000000001E-2</v>
      </c>
      <c r="H47" s="19">
        <f t="shared" si="5"/>
        <v>58.260869565217391</v>
      </c>
      <c r="I47" s="29" t="s">
        <v>28</v>
      </c>
      <c r="J47" s="26">
        <v>4.1100000000000003</v>
      </c>
      <c r="K47" s="26">
        <v>0</v>
      </c>
      <c r="L47" s="26">
        <v>93.5</v>
      </c>
      <c r="M47" s="26">
        <v>0</v>
      </c>
      <c r="N47" s="26">
        <v>0</v>
      </c>
      <c r="O47" s="26">
        <v>0</v>
      </c>
      <c r="P47" s="26">
        <v>5.22</v>
      </c>
      <c r="Q47" s="26">
        <v>0.18</v>
      </c>
      <c r="R47" s="26">
        <v>0</v>
      </c>
      <c r="S47" s="26">
        <v>0</v>
      </c>
      <c r="T47" s="7">
        <v>0</v>
      </c>
      <c r="U47" s="3">
        <f t="shared" si="1"/>
        <v>144.33599999999998</v>
      </c>
    </row>
    <row r="48" spans="1:21" x14ac:dyDescent="0.4">
      <c r="A48" s="17">
        <v>45</v>
      </c>
      <c r="B48" s="18">
        <v>20</v>
      </c>
      <c r="C48" s="19">
        <v>0.5</v>
      </c>
      <c r="D48" s="19" t="s">
        <v>23</v>
      </c>
      <c r="E48" s="17">
        <v>9.11</v>
      </c>
      <c r="F48" s="17" t="s">
        <v>22</v>
      </c>
      <c r="G48" s="17">
        <v>3.7999999999999999E-2</v>
      </c>
      <c r="H48" s="19">
        <f t="shared" si="5"/>
        <v>66.956521739130451</v>
      </c>
      <c r="I48" s="29" t="s">
        <v>27</v>
      </c>
      <c r="J48" s="26">
        <v>4.1100000000000003</v>
      </c>
      <c r="K48" s="26">
        <v>0</v>
      </c>
      <c r="L48" s="26">
        <v>93.5</v>
      </c>
      <c r="M48" s="26">
        <v>0</v>
      </c>
      <c r="N48" s="26">
        <v>0</v>
      </c>
      <c r="O48" s="26">
        <v>0</v>
      </c>
      <c r="P48" s="26">
        <v>5.22</v>
      </c>
      <c r="Q48" s="26">
        <v>0.18</v>
      </c>
      <c r="R48" s="26">
        <v>0</v>
      </c>
      <c r="S48" s="26">
        <v>0</v>
      </c>
      <c r="T48" s="7">
        <v>0</v>
      </c>
      <c r="U48" s="3">
        <f t="shared" si="1"/>
        <v>144.33599999999998</v>
      </c>
    </row>
    <row r="49" spans="1:21" x14ac:dyDescent="0.4">
      <c r="A49" s="17">
        <v>60</v>
      </c>
      <c r="B49" s="18">
        <v>20</v>
      </c>
      <c r="C49" s="19">
        <v>0.5</v>
      </c>
      <c r="D49" s="19" t="s">
        <v>23</v>
      </c>
      <c r="E49" s="17">
        <v>9.11</v>
      </c>
      <c r="F49" s="17" t="s">
        <v>22</v>
      </c>
      <c r="G49" s="17">
        <v>3.9E-2</v>
      </c>
      <c r="H49" s="19">
        <f t="shared" si="5"/>
        <v>66.08695652173914</v>
      </c>
      <c r="I49" s="29" t="s">
        <v>29</v>
      </c>
      <c r="J49" s="26">
        <v>4.1100000000000003</v>
      </c>
      <c r="K49" s="26">
        <v>0</v>
      </c>
      <c r="L49" s="26">
        <v>93.5</v>
      </c>
      <c r="M49" s="26">
        <v>0</v>
      </c>
      <c r="N49" s="26">
        <v>0</v>
      </c>
      <c r="O49" s="26">
        <v>0</v>
      </c>
      <c r="P49" s="26">
        <v>5.22</v>
      </c>
      <c r="Q49" s="26">
        <v>0.18</v>
      </c>
      <c r="R49" s="26">
        <v>0</v>
      </c>
      <c r="S49" s="26">
        <v>0</v>
      </c>
      <c r="T49" s="7">
        <v>0</v>
      </c>
      <c r="U49" s="3">
        <f t="shared" si="1"/>
        <v>144.33599999999998</v>
      </c>
    </row>
    <row r="50" spans="1:21" x14ac:dyDescent="0.4">
      <c r="A50" s="17">
        <v>90</v>
      </c>
      <c r="B50" s="18">
        <v>20</v>
      </c>
      <c r="C50" s="19">
        <v>0.5</v>
      </c>
      <c r="D50" s="19" t="s">
        <v>23</v>
      </c>
      <c r="E50" s="17">
        <v>9.11</v>
      </c>
      <c r="F50" s="17" t="s">
        <v>22</v>
      </c>
      <c r="G50" s="17">
        <v>3.5999999999999997E-2</v>
      </c>
      <c r="H50" s="19">
        <f t="shared" si="5"/>
        <v>68.695652173913061</v>
      </c>
      <c r="I50" s="29" t="s">
        <v>29</v>
      </c>
      <c r="J50" s="26">
        <v>4.1100000000000003</v>
      </c>
      <c r="K50" s="26">
        <v>0</v>
      </c>
      <c r="L50" s="26">
        <v>93.5</v>
      </c>
      <c r="M50" s="26">
        <v>0</v>
      </c>
      <c r="N50" s="26">
        <v>0</v>
      </c>
      <c r="O50" s="26">
        <v>0</v>
      </c>
      <c r="P50" s="26">
        <v>5.22</v>
      </c>
      <c r="Q50" s="26">
        <v>0.18</v>
      </c>
      <c r="R50" s="26">
        <v>0</v>
      </c>
      <c r="S50" s="26">
        <v>0</v>
      </c>
      <c r="T50" s="7">
        <v>0</v>
      </c>
      <c r="U50" s="3">
        <f t="shared" si="1"/>
        <v>144.33599999999998</v>
      </c>
    </row>
    <row r="51" spans="1:21" x14ac:dyDescent="0.4">
      <c r="A51" s="20">
        <v>120</v>
      </c>
      <c r="B51" s="21">
        <v>20</v>
      </c>
      <c r="C51" s="22">
        <v>0.5</v>
      </c>
      <c r="D51" s="22" t="s">
        <v>23</v>
      </c>
      <c r="E51" s="20">
        <v>9.11</v>
      </c>
      <c r="F51" s="20" t="s">
        <v>22</v>
      </c>
      <c r="G51" s="20">
        <v>2.9000000000000001E-2</v>
      </c>
      <c r="H51" s="22">
        <f t="shared" si="5"/>
        <v>74.782608695652172</v>
      </c>
      <c r="I51" s="31" t="s">
        <v>30</v>
      </c>
      <c r="J51" s="27">
        <v>4.1100000000000003</v>
      </c>
      <c r="K51" s="27">
        <v>0</v>
      </c>
      <c r="L51" s="27">
        <v>93.5</v>
      </c>
      <c r="M51" s="27">
        <v>0</v>
      </c>
      <c r="N51" s="27">
        <v>0</v>
      </c>
      <c r="O51" s="27">
        <v>0</v>
      </c>
      <c r="P51" s="27">
        <v>5.22</v>
      </c>
      <c r="Q51" s="27">
        <v>0.18</v>
      </c>
      <c r="R51" s="27">
        <v>0</v>
      </c>
      <c r="S51" s="27">
        <v>0</v>
      </c>
      <c r="T51" s="8">
        <v>0</v>
      </c>
      <c r="U51" s="6">
        <f t="shared" si="1"/>
        <v>144.33599999999998</v>
      </c>
    </row>
    <row r="52" spans="1:21" x14ac:dyDescent="0.4">
      <c r="A52" s="14">
        <v>-45</v>
      </c>
      <c r="B52" s="15">
        <v>20</v>
      </c>
      <c r="C52" s="16">
        <v>1</v>
      </c>
      <c r="D52" s="16" t="s">
        <v>23</v>
      </c>
      <c r="E52" s="14">
        <v>9</v>
      </c>
      <c r="F52" s="14" t="s">
        <v>21</v>
      </c>
      <c r="G52" s="14">
        <v>0.14399999999999999</v>
      </c>
      <c r="H52" s="28">
        <f>($G$52-G52)/$G$52*100</f>
        <v>0</v>
      </c>
      <c r="I52" s="30" t="s">
        <v>25</v>
      </c>
      <c r="J52" s="26">
        <v>3.42</v>
      </c>
      <c r="K52" s="26">
        <v>0</v>
      </c>
      <c r="L52" s="26">
        <v>91.87</v>
      </c>
      <c r="M52" s="26">
        <v>0</v>
      </c>
      <c r="N52" s="26">
        <v>0</v>
      </c>
      <c r="O52" s="26">
        <v>0</v>
      </c>
      <c r="P52" s="26">
        <v>4.49</v>
      </c>
      <c r="Q52" s="26">
        <v>0.2</v>
      </c>
      <c r="R52" s="26">
        <v>0</v>
      </c>
      <c r="S52" s="26">
        <v>0</v>
      </c>
      <c r="T52" s="7">
        <v>0</v>
      </c>
      <c r="U52" s="3">
        <f t="shared" si="1"/>
        <v>141.29700000000003</v>
      </c>
    </row>
    <row r="53" spans="1:21" x14ac:dyDescent="0.4">
      <c r="A53" s="14">
        <v>-30</v>
      </c>
      <c r="B53" s="15">
        <v>20</v>
      </c>
      <c r="C53" s="16">
        <v>1</v>
      </c>
      <c r="D53" s="16" t="s">
        <v>23</v>
      </c>
      <c r="E53" s="14">
        <v>9</v>
      </c>
      <c r="F53" s="14" t="s">
        <v>21</v>
      </c>
      <c r="G53" s="14">
        <v>0.13600000000000001</v>
      </c>
      <c r="H53" s="15">
        <f t="shared" ref="H53:H61" si="6">($G$52-G53)/$G$52*100</f>
        <v>5.5555555555555411</v>
      </c>
      <c r="I53" s="29" t="s">
        <v>27</v>
      </c>
      <c r="J53" s="26">
        <v>3.42</v>
      </c>
      <c r="K53" s="26">
        <v>0</v>
      </c>
      <c r="L53" s="26">
        <v>91.87</v>
      </c>
      <c r="M53" s="26">
        <v>0</v>
      </c>
      <c r="N53" s="26">
        <v>0</v>
      </c>
      <c r="O53" s="26">
        <v>0</v>
      </c>
      <c r="P53" s="26">
        <v>4.49</v>
      </c>
      <c r="Q53" s="26">
        <v>0.2</v>
      </c>
      <c r="R53" s="26">
        <v>0</v>
      </c>
      <c r="S53" s="26">
        <v>0</v>
      </c>
      <c r="T53" s="7">
        <v>0</v>
      </c>
      <c r="U53" s="3">
        <f t="shared" si="1"/>
        <v>141.29700000000003</v>
      </c>
    </row>
    <row r="54" spans="1:21" x14ac:dyDescent="0.4">
      <c r="A54" s="14">
        <v>-15</v>
      </c>
      <c r="B54" s="15">
        <v>20</v>
      </c>
      <c r="C54" s="16">
        <v>1</v>
      </c>
      <c r="D54" s="16" t="s">
        <v>23</v>
      </c>
      <c r="E54" s="14">
        <v>9</v>
      </c>
      <c r="F54" s="14" t="s">
        <v>21</v>
      </c>
      <c r="G54" s="14">
        <v>9.8000000000000004E-2</v>
      </c>
      <c r="H54" s="15">
        <f t="shared" si="6"/>
        <v>31.944444444444436</v>
      </c>
      <c r="I54" s="29" t="s">
        <v>29</v>
      </c>
      <c r="J54" s="26">
        <v>3.42</v>
      </c>
      <c r="K54" s="26">
        <v>0</v>
      </c>
      <c r="L54" s="26">
        <v>91.87</v>
      </c>
      <c r="M54" s="26">
        <v>0</v>
      </c>
      <c r="N54" s="26">
        <v>0</v>
      </c>
      <c r="O54" s="26">
        <v>0</v>
      </c>
      <c r="P54" s="26">
        <v>4.49</v>
      </c>
      <c r="Q54" s="26">
        <v>0.2</v>
      </c>
      <c r="R54" s="26">
        <v>0</v>
      </c>
      <c r="S54" s="26">
        <v>0</v>
      </c>
      <c r="T54" s="7">
        <v>0</v>
      </c>
      <c r="U54" s="3">
        <f t="shared" si="1"/>
        <v>141.29700000000003</v>
      </c>
    </row>
    <row r="55" spans="1:21" x14ac:dyDescent="0.4">
      <c r="A55" s="17">
        <v>0</v>
      </c>
      <c r="B55" s="18">
        <v>20</v>
      </c>
      <c r="C55" s="19">
        <v>1</v>
      </c>
      <c r="D55" s="19" t="s">
        <v>23</v>
      </c>
      <c r="E55" s="17">
        <v>9</v>
      </c>
      <c r="F55" s="17" t="s">
        <v>22</v>
      </c>
      <c r="G55" s="17">
        <v>6.6000000000000003E-2</v>
      </c>
      <c r="H55" s="19">
        <f t="shared" si="6"/>
        <v>54.166666666666664</v>
      </c>
      <c r="I55" s="29" t="s">
        <v>26</v>
      </c>
      <c r="J55" s="26">
        <v>3.42</v>
      </c>
      <c r="K55" s="26">
        <v>0</v>
      </c>
      <c r="L55" s="26">
        <v>91.87</v>
      </c>
      <c r="M55" s="26">
        <v>0</v>
      </c>
      <c r="N55" s="26">
        <v>0</v>
      </c>
      <c r="O55" s="26">
        <v>0</v>
      </c>
      <c r="P55" s="26">
        <v>4.49</v>
      </c>
      <c r="Q55" s="26">
        <v>0.2</v>
      </c>
      <c r="R55" s="26">
        <v>0</v>
      </c>
      <c r="S55" s="26">
        <v>0</v>
      </c>
      <c r="T55" s="7">
        <v>0</v>
      </c>
      <c r="U55" s="3">
        <f t="shared" si="1"/>
        <v>141.29700000000003</v>
      </c>
    </row>
    <row r="56" spans="1:21" x14ac:dyDescent="0.4">
      <c r="A56" s="17">
        <v>15</v>
      </c>
      <c r="B56" s="18">
        <v>20</v>
      </c>
      <c r="C56" s="19">
        <v>1</v>
      </c>
      <c r="D56" s="19" t="s">
        <v>23</v>
      </c>
      <c r="E56" s="17">
        <v>9</v>
      </c>
      <c r="F56" s="17" t="s">
        <v>22</v>
      </c>
      <c r="G56" s="17">
        <v>1.0699999999999999E-2</v>
      </c>
      <c r="H56" s="19">
        <f t="shared" si="6"/>
        <v>92.569444444444443</v>
      </c>
      <c r="I56" s="29" t="s">
        <v>28</v>
      </c>
      <c r="J56" s="26">
        <v>3.42</v>
      </c>
      <c r="K56" s="26">
        <v>0</v>
      </c>
      <c r="L56" s="26">
        <v>91.87</v>
      </c>
      <c r="M56" s="26">
        <v>0</v>
      </c>
      <c r="N56" s="26">
        <v>0</v>
      </c>
      <c r="O56" s="26">
        <v>0</v>
      </c>
      <c r="P56" s="26">
        <v>4.49</v>
      </c>
      <c r="Q56" s="26">
        <v>0.2</v>
      </c>
      <c r="R56" s="26">
        <v>0</v>
      </c>
      <c r="S56" s="26">
        <v>0</v>
      </c>
      <c r="T56" s="7">
        <v>0</v>
      </c>
      <c r="U56" s="3">
        <f t="shared" si="1"/>
        <v>141.29700000000003</v>
      </c>
    </row>
    <row r="57" spans="1:21" x14ac:dyDescent="0.4">
      <c r="A57" s="17">
        <v>30</v>
      </c>
      <c r="B57" s="18">
        <v>20</v>
      </c>
      <c r="C57" s="19">
        <v>1</v>
      </c>
      <c r="D57" s="19" t="s">
        <v>23</v>
      </c>
      <c r="E57" s="17">
        <v>9</v>
      </c>
      <c r="F57" s="17" t="s">
        <v>22</v>
      </c>
      <c r="G57" s="17">
        <v>9.9000000000000005E-2</v>
      </c>
      <c r="H57" s="19">
        <f t="shared" si="6"/>
        <v>31.249999999999989</v>
      </c>
      <c r="I57" s="29" t="s">
        <v>25</v>
      </c>
      <c r="J57" s="26">
        <v>3.42</v>
      </c>
      <c r="K57" s="26">
        <v>0</v>
      </c>
      <c r="L57" s="26">
        <v>91.87</v>
      </c>
      <c r="M57" s="26">
        <v>0</v>
      </c>
      <c r="N57" s="26">
        <v>0</v>
      </c>
      <c r="O57" s="26">
        <v>0</v>
      </c>
      <c r="P57" s="26">
        <v>4.49</v>
      </c>
      <c r="Q57" s="26">
        <v>0.2</v>
      </c>
      <c r="R57" s="26">
        <v>0</v>
      </c>
      <c r="S57" s="26">
        <v>0</v>
      </c>
      <c r="T57" s="7">
        <v>0</v>
      </c>
      <c r="U57" s="3">
        <f t="shared" si="1"/>
        <v>141.29700000000003</v>
      </c>
    </row>
    <row r="58" spans="1:21" x14ac:dyDescent="0.4">
      <c r="A58" s="17">
        <v>45</v>
      </c>
      <c r="B58" s="18">
        <v>20</v>
      </c>
      <c r="C58" s="19">
        <v>1</v>
      </c>
      <c r="D58" s="19" t="s">
        <v>23</v>
      </c>
      <c r="E58" s="17">
        <v>9</v>
      </c>
      <c r="F58" s="17" t="s">
        <v>22</v>
      </c>
      <c r="G58" s="17">
        <v>9.9000000000000005E-2</v>
      </c>
      <c r="H58" s="19">
        <f t="shared" si="6"/>
        <v>31.249999999999989</v>
      </c>
      <c r="I58" s="29" t="s">
        <v>27</v>
      </c>
      <c r="J58" s="26">
        <v>3.42</v>
      </c>
      <c r="K58" s="26">
        <v>0</v>
      </c>
      <c r="L58" s="26">
        <v>91.87</v>
      </c>
      <c r="M58" s="26">
        <v>0</v>
      </c>
      <c r="N58" s="26">
        <v>0</v>
      </c>
      <c r="O58" s="26">
        <v>0</v>
      </c>
      <c r="P58" s="26">
        <v>4.49</v>
      </c>
      <c r="Q58" s="26">
        <v>0.2</v>
      </c>
      <c r="R58" s="26">
        <v>0</v>
      </c>
      <c r="S58" s="26">
        <v>0</v>
      </c>
      <c r="T58" s="7">
        <v>0</v>
      </c>
      <c r="U58" s="3">
        <f t="shared" si="1"/>
        <v>141.29700000000003</v>
      </c>
    </row>
    <row r="59" spans="1:21" x14ac:dyDescent="0.4">
      <c r="A59" s="17">
        <v>60</v>
      </c>
      <c r="B59" s="18">
        <v>20</v>
      </c>
      <c r="C59" s="19">
        <v>1</v>
      </c>
      <c r="D59" s="19" t="s">
        <v>23</v>
      </c>
      <c r="E59" s="17">
        <v>9</v>
      </c>
      <c r="F59" s="17" t="s">
        <v>22</v>
      </c>
      <c r="G59" s="17">
        <v>0.109</v>
      </c>
      <c r="H59" s="19">
        <f t="shared" si="6"/>
        <v>24.30555555555555</v>
      </c>
      <c r="I59" s="29" t="s">
        <v>30</v>
      </c>
      <c r="J59" s="26">
        <v>3.42</v>
      </c>
      <c r="K59" s="26">
        <v>0</v>
      </c>
      <c r="L59" s="26">
        <v>91.87</v>
      </c>
      <c r="M59" s="26">
        <v>0</v>
      </c>
      <c r="N59" s="26">
        <v>0</v>
      </c>
      <c r="O59" s="26">
        <v>0</v>
      </c>
      <c r="P59" s="26">
        <v>4.49</v>
      </c>
      <c r="Q59" s="26">
        <v>0.2</v>
      </c>
      <c r="R59" s="26">
        <v>0</v>
      </c>
      <c r="S59" s="26">
        <v>0</v>
      </c>
      <c r="T59" s="7">
        <v>0</v>
      </c>
      <c r="U59" s="3">
        <f t="shared" si="1"/>
        <v>141.29700000000003</v>
      </c>
    </row>
    <row r="60" spans="1:21" x14ac:dyDescent="0.4">
      <c r="A60" s="17">
        <v>90</v>
      </c>
      <c r="B60" s="18">
        <v>20</v>
      </c>
      <c r="C60" s="19">
        <v>1</v>
      </c>
      <c r="D60" s="19" t="s">
        <v>23</v>
      </c>
      <c r="E60" s="17">
        <v>9</v>
      </c>
      <c r="F60" s="17" t="s">
        <v>22</v>
      </c>
      <c r="G60" s="17">
        <v>7.0000000000000007E-2</v>
      </c>
      <c r="H60" s="19">
        <f t="shared" si="6"/>
        <v>51.388888888888886</v>
      </c>
      <c r="I60" s="29" t="s">
        <v>27</v>
      </c>
      <c r="J60" s="26">
        <v>3.42</v>
      </c>
      <c r="K60" s="26">
        <v>0</v>
      </c>
      <c r="L60" s="26">
        <v>91.87</v>
      </c>
      <c r="M60" s="26">
        <v>0</v>
      </c>
      <c r="N60" s="26">
        <v>0</v>
      </c>
      <c r="O60" s="26">
        <v>0</v>
      </c>
      <c r="P60" s="26">
        <v>4.49</v>
      </c>
      <c r="Q60" s="26">
        <v>0.2</v>
      </c>
      <c r="R60" s="26">
        <v>0</v>
      </c>
      <c r="S60" s="26">
        <v>0</v>
      </c>
      <c r="T60" s="7">
        <v>0</v>
      </c>
      <c r="U60" s="3">
        <f t="shared" si="1"/>
        <v>141.29700000000003</v>
      </c>
    </row>
    <row r="61" spans="1:21" x14ac:dyDescent="0.4">
      <c r="A61" s="20">
        <v>120</v>
      </c>
      <c r="B61" s="21">
        <v>20</v>
      </c>
      <c r="C61" s="22">
        <v>1</v>
      </c>
      <c r="D61" s="22" t="s">
        <v>23</v>
      </c>
      <c r="E61" s="20">
        <v>9</v>
      </c>
      <c r="F61" s="20" t="s">
        <v>22</v>
      </c>
      <c r="G61" s="20">
        <v>0.05</v>
      </c>
      <c r="H61" s="22">
        <f t="shared" si="6"/>
        <v>65.277777777777771</v>
      </c>
      <c r="I61" s="31" t="s">
        <v>30</v>
      </c>
      <c r="J61" s="27">
        <v>3.42</v>
      </c>
      <c r="K61" s="27">
        <v>0</v>
      </c>
      <c r="L61" s="27">
        <v>91.87</v>
      </c>
      <c r="M61" s="27">
        <v>0</v>
      </c>
      <c r="N61" s="27">
        <v>0</v>
      </c>
      <c r="O61" s="27">
        <v>0</v>
      </c>
      <c r="P61" s="27">
        <v>4.49</v>
      </c>
      <c r="Q61" s="27">
        <v>0.2</v>
      </c>
      <c r="R61" s="27">
        <v>0</v>
      </c>
      <c r="S61" s="27">
        <v>0</v>
      </c>
      <c r="T61" s="8">
        <v>0</v>
      </c>
      <c r="U61" s="6">
        <f t="shared" si="1"/>
        <v>141.29700000000003</v>
      </c>
    </row>
    <row r="63" spans="1:21" x14ac:dyDescent="0.4"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3"/>
      <c r="U63" s="12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46585-4C28-4165-A17D-2A7255AA11AF}">
  <dimension ref="A1:Q11"/>
  <sheetViews>
    <sheetView tabSelected="1" workbookViewId="0">
      <selection activeCell="N5" sqref="N5"/>
    </sheetView>
  </sheetViews>
  <sheetFormatPr defaultRowHeight="15" x14ac:dyDescent="0.25"/>
  <cols>
    <col min="1" max="1" width="9.140625" style="32"/>
    <col min="2" max="2" width="10.7109375" style="32" customWidth="1"/>
    <col min="3" max="3" width="10.85546875" style="32" customWidth="1"/>
    <col min="4" max="4" width="9.140625" style="32"/>
    <col min="5" max="5" width="14.7109375" style="1" customWidth="1"/>
  </cols>
  <sheetData>
    <row r="1" spans="1:17" x14ac:dyDescent="0.25">
      <c r="A1" s="33" t="s">
        <v>40</v>
      </c>
      <c r="B1" s="33" t="s">
        <v>38</v>
      </c>
      <c r="C1" s="33" t="s">
        <v>39</v>
      </c>
      <c r="D1" s="33" t="s">
        <v>41</v>
      </c>
      <c r="E1" s="39" t="s">
        <v>42</v>
      </c>
      <c r="F1" s="33" t="s">
        <v>43</v>
      </c>
      <c r="L1" s="36"/>
      <c r="M1" s="36"/>
      <c r="N1" s="36"/>
      <c r="O1" s="36"/>
      <c r="P1" s="36"/>
      <c r="Q1" s="36"/>
    </row>
    <row r="2" spans="1:17" ht="18.75" x14ac:dyDescent="0.4">
      <c r="A2" s="32">
        <v>1</v>
      </c>
      <c r="B2" s="34">
        <v>55361</v>
      </c>
      <c r="C2" s="34">
        <v>55828</v>
      </c>
      <c r="D2" s="41">
        <f>ABS(B2-C2)/B2</f>
        <v>8.4355412655118221E-3</v>
      </c>
      <c r="E2" s="40">
        <f>SUM(A2:A3,A5:A11)/SUM(A2:A11)</f>
        <v>0.94545454545454544</v>
      </c>
      <c r="F2" s="40">
        <f>A4/SUM(A2:A11)</f>
        <v>5.4545454545454543E-2</v>
      </c>
      <c r="L2" s="36"/>
      <c r="M2" s="36"/>
      <c r="N2" s="37"/>
      <c r="O2" s="38"/>
      <c r="P2" s="36"/>
      <c r="Q2" s="36"/>
    </row>
    <row r="3" spans="1:17" ht="18.75" x14ac:dyDescent="0.4">
      <c r="A3" s="32">
        <v>2</v>
      </c>
      <c r="B3" s="34">
        <v>55189</v>
      </c>
      <c r="C3" s="35">
        <v>55808</v>
      </c>
      <c r="D3" s="41">
        <f>ABS(B3-C3)/B3</f>
        <v>1.1216003189041295E-2</v>
      </c>
      <c r="E3" s="35"/>
      <c r="L3" s="36"/>
      <c r="M3" s="36"/>
      <c r="N3" s="37"/>
      <c r="O3" s="38"/>
      <c r="P3" s="36"/>
      <c r="Q3" s="36"/>
    </row>
    <row r="4" spans="1:17" ht="18.75" x14ac:dyDescent="0.4">
      <c r="A4" s="32">
        <v>3</v>
      </c>
      <c r="B4" s="34">
        <v>55966</v>
      </c>
      <c r="C4" s="35">
        <v>64035</v>
      </c>
      <c r="D4" s="41">
        <f t="shared" ref="D3:D11" si="0">ABS(B4-C4)/B4</f>
        <v>0.14417682164171103</v>
      </c>
      <c r="E4" s="35"/>
      <c r="L4" s="36"/>
      <c r="M4" s="36"/>
      <c r="N4" s="37"/>
      <c r="O4" s="38"/>
      <c r="P4" s="36"/>
      <c r="Q4" s="36"/>
    </row>
    <row r="5" spans="1:17" ht="18.75" x14ac:dyDescent="0.4">
      <c r="A5" s="32">
        <v>4</v>
      </c>
      <c r="B5" s="34">
        <v>144336</v>
      </c>
      <c r="C5" s="34">
        <v>139109</v>
      </c>
      <c r="D5" s="41">
        <f t="shared" si="0"/>
        <v>3.6214111517570112E-2</v>
      </c>
      <c r="L5" s="36"/>
      <c r="M5" s="36"/>
      <c r="N5" s="37"/>
      <c r="O5" s="38"/>
      <c r="P5" s="36"/>
      <c r="Q5" s="36"/>
    </row>
    <row r="6" spans="1:17" ht="18.75" x14ac:dyDescent="0.4">
      <c r="A6" s="32">
        <v>5</v>
      </c>
      <c r="B6" s="35">
        <v>62386</v>
      </c>
      <c r="C6" s="35">
        <v>63624</v>
      </c>
      <c r="D6" s="41">
        <f t="shared" si="0"/>
        <v>1.9844195813163209E-2</v>
      </c>
      <c r="L6" s="36"/>
      <c r="M6" s="36"/>
      <c r="N6" s="37"/>
      <c r="O6" s="38"/>
      <c r="P6" s="36"/>
      <c r="Q6" s="36"/>
    </row>
    <row r="7" spans="1:17" ht="18.75" x14ac:dyDescent="0.4">
      <c r="A7" s="32">
        <v>6</v>
      </c>
      <c r="B7" s="35">
        <v>141297</v>
      </c>
      <c r="C7" s="35">
        <v>142302</v>
      </c>
      <c r="D7" s="41">
        <f t="shared" si="0"/>
        <v>7.1126775515403728E-3</v>
      </c>
      <c r="E7" s="35"/>
      <c r="L7" s="36"/>
      <c r="M7" s="36"/>
      <c r="N7" s="37"/>
      <c r="O7" s="38"/>
      <c r="P7" s="36"/>
      <c r="Q7" s="36"/>
    </row>
    <row r="8" spans="1:17" ht="18.75" x14ac:dyDescent="0.4">
      <c r="A8" s="32">
        <v>7</v>
      </c>
      <c r="B8" s="34">
        <v>55966</v>
      </c>
      <c r="C8" s="34">
        <v>55193</v>
      </c>
      <c r="D8" s="41">
        <f t="shared" si="0"/>
        <v>1.3811957259764857E-2</v>
      </c>
      <c r="L8" s="36"/>
      <c r="M8" s="36"/>
      <c r="N8" s="37"/>
      <c r="O8" s="38"/>
      <c r="P8" s="36"/>
      <c r="Q8" s="36"/>
    </row>
    <row r="9" spans="1:17" x14ac:dyDescent="0.25">
      <c r="A9" s="32">
        <v>8</v>
      </c>
      <c r="B9" s="34">
        <v>144336</v>
      </c>
      <c r="C9" s="35">
        <v>141374</v>
      </c>
      <c r="D9" s="41">
        <f>ABS(B9-C9)/B9</f>
        <v>2.0521560802571778E-2</v>
      </c>
    </row>
    <row r="10" spans="1:17" x14ac:dyDescent="0.25">
      <c r="A10" s="32">
        <v>9</v>
      </c>
      <c r="B10" s="34">
        <v>62386</v>
      </c>
      <c r="C10" s="35">
        <v>62118</v>
      </c>
      <c r="D10" s="41">
        <f t="shared" si="0"/>
        <v>4.2958356041419548E-3</v>
      </c>
      <c r="E10" s="35"/>
    </row>
    <row r="11" spans="1:17" x14ac:dyDescent="0.25">
      <c r="A11" s="32">
        <v>10</v>
      </c>
      <c r="B11" s="34">
        <v>141297</v>
      </c>
      <c r="C11" s="35">
        <v>139920</v>
      </c>
      <c r="D11" s="41">
        <f>ABS(B11-C11)/B11</f>
        <v>9.7454298392747191E-3</v>
      </c>
      <c r="E11" s="3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Data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Oviedo</dc:creator>
  <cp:lastModifiedBy>Leandro Oviedo</cp:lastModifiedBy>
  <dcterms:created xsi:type="dcterms:W3CDTF">2015-06-05T18:19:34Z</dcterms:created>
  <dcterms:modified xsi:type="dcterms:W3CDTF">2026-07-07T21:34:53Z</dcterms:modified>
</cp:coreProperties>
</file>